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arenudge/Documents/AuScope_Opportunity_Fund/MT_metadata/"/>
    </mc:Choice>
  </mc:AlternateContent>
  <xr:revisionPtr revIDLastSave="0" documentId="13_ncr:1_{2FD97470-8459-034C-A31A-C10C7797260E}" xr6:coauthVersionLast="47" xr6:coauthVersionMax="47" xr10:uidLastSave="{00000000-0000-0000-0000-000000000000}"/>
  <bookViews>
    <workbookView xWindow="-35700" yWindow="3280" windowWidth="31400" windowHeight="21100" xr2:uid="{2EC21F2F-7123-7F43-85CA-C7337EA7150C}"/>
  </bookViews>
  <sheets>
    <sheet name="all_station_lat_l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9" i="1" l="1"/>
  <c r="X360" i="1"/>
  <c r="X361" i="1"/>
  <c r="X362" i="1"/>
  <c r="X363" i="1"/>
  <c r="X364" i="1"/>
  <c r="X365" i="1"/>
  <c r="W359" i="1"/>
  <c r="W360" i="1"/>
  <c r="W361" i="1"/>
  <c r="W362" i="1"/>
  <c r="W363" i="1"/>
  <c r="W364" i="1"/>
  <c r="W365" i="1"/>
  <c r="V359" i="1"/>
  <c r="V360" i="1"/>
  <c r="V361" i="1"/>
  <c r="V362" i="1"/>
  <c r="V363" i="1"/>
  <c r="V364" i="1"/>
  <c r="V365" i="1"/>
  <c r="U359" i="1"/>
  <c r="U360" i="1"/>
  <c r="U361" i="1"/>
  <c r="U362" i="1"/>
  <c r="U363" i="1"/>
  <c r="U364" i="1"/>
  <c r="U365" i="1"/>
  <c r="T359" i="1"/>
  <c r="T360" i="1"/>
  <c r="T361" i="1"/>
  <c r="T362" i="1"/>
  <c r="T363" i="1"/>
  <c r="T364" i="1"/>
  <c r="T365" i="1"/>
  <c r="S359" i="1"/>
  <c r="S360" i="1"/>
  <c r="S361" i="1"/>
  <c r="S362" i="1"/>
  <c r="S363" i="1"/>
  <c r="S364" i="1"/>
  <c r="S365" i="1"/>
  <c r="R359" i="1"/>
  <c r="R360" i="1"/>
  <c r="R361" i="1"/>
  <c r="R362" i="1"/>
  <c r="R363" i="1"/>
  <c r="R364" i="1"/>
  <c r="R365" i="1"/>
  <c r="P359" i="1"/>
  <c r="P360" i="1"/>
  <c r="P361" i="1"/>
  <c r="P362" i="1"/>
  <c r="P363" i="1"/>
  <c r="P364" i="1"/>
  <c r="P365" i="1"/>
  <c r="N359" i="1"/>
  <c r="N360" i="1"/>
  <c r="N361" i="1"/>
  <c r="N362" i="1"/>
  <c r="N363" i="1"/>
  <c r="N364" i="1"/>
  <c r="N365" i="1"/>
  <c r="M359" i="1"/>
  <c r="M360" i="1"/>
  <c r="M361" i="1"/>
  <c r="M362" i="1"/>
  <c r="M363" i="1"/>
  <c r="M364" i="1"/>
  <c r="M365" i="1"/>
  <c r="L359" i="1"/>
  <c r="L360" i="1"/>
  <c r="L361" i="1"/>
  <c r="L362" i="1"/>
  <c r="L363" i="1"/>
  <c r="L364" i="1"/>
  <c r="L365" i="1"/>
  <c r="K359" i="1"/>
  <c r="K360" i="1"/>
  <c r="K361" i="1"/>
  <c r="K362" i="1"/>
  <c r="K363" i="1"/>
  <c r="K364" i="1"/>
  <c r="K365" i="1"/>
  <c r="J359" i="1"/>
  <c r="J360" i="1"/>
  <c r="J361" i="1"/>
  <c r="J362" i="1"/>
  <c r="J363" i="1"/>
  <c r="J364" i="1"/>
  <c r="J365" i="1"/>
  <c r="I359" i="1"/>
  <c r="I360" i="1"/>
  <c r="I361" i="1"/>
  <c r="I362" i="1"/>
  <c r="I363" i="1"/>
  <c r="I364" i="1"/>
  <c r="I365" i="1"/>
  <c r="H359" i="1"/>
  <c r="H360" i="1"/>
  <c r="H361" i="1"/>
  <c r="H362" i="1"/>
  <c r="H363" i="1"/>
  <c r="H364" i="1"/>
  <c r="H365" i="1"/>
  <c r="G359" i="1"/>
  <c r="G360" i="1"/>
  <c r="G361" i="1"/>
  <c r="G362" i="1"/>
  <c r="G363" i="1"/>
  <c r="G364" i="1"/>
  <c r="G365" i="1"/>
  <c r="F359" i="1"/>
  <c r="F360" i="1"/>
  <c r="F361" i="1"/>
  <c r="F362" i="1"/>
  <c r="F363" i="1"/>
  <c r="F364" i="1"/>
  <c r="F365" i="1"/>
  <c r="X355" i="1"/>
  <c r="X356" i="1"/>
  <c r="X357" i="1"/>
  <c r="X358" i="1"/>
  <c r="W355" i="1"/>
  <c r="W356" i="1"/>
  <c r="W357" i="1"/>
  <c r="W358" i="1"/>
  <c r="V355" i="1"/>
  <c r="V356" i="1"/>
  <c r="V357" i="1"/>
  <c r="V358" i="1"/>
  <c r="U355" i="1"/>
  <c r="U356" i="1"/>
  <c r="U357" i="1"/>
  <c r="U358" i="1"/>
  <c r="T355" i="1"/>
  <c r="T356" i="1"/>
  <c r="T357" i="1"/>
  <c r="T358" i="1"/>
  <c r="S355" i="1"/>
  <c r="S356" i="1"/>
  <c r="S357" i="1"/>
  <c r="S358" i="1"/>
  <c r="R355" i="1"/>
  <c r="R356" i="1"/>
  <c r="R357" i="1"/>
  <c r="R358" i="1"/>
  <c r="P355" i="1"/>
  <c r="P356" i="1"/>
  <c r="P357" i="1"/>
  <c r="P358" i="1"/>
  <c r="N355" i="1"/>
  <c r="N356" i="1"/>
  <c r="N357" i="1"/>
  <c r="N358" i="1"/>
  <c r="M355" i="1"/>
  <c r="M356" i="1"/>
  <c r="M357" i="1"/>
  <c r="M358" i="1"/>
  <c r="L355" i="1"/>
  <c r="L356" i="1"/>
  <c r="L357" i="1"/>
  <c r="L358" i="1"/>
  <c r="K355" i="1"/>
  <c r="K356" i="1"/>
  <c r="K357" i="1"/>
  <c r="K358" i="1"/>
  <c r="J355" i="1"/>
  <c r="J356" i="1"/>
  <c r="J357" i="1"/>
  <c r="J358" i="1"/>
  <c r="I355" i="1"/>
  <c r="I356" i="1"/>
  <c r="I357" i="1"/>
  <c r="I358" i="1"/>
  <c r="H355" i="1"/>
  <c r="H356" i="1"/>
  <c r="H357" i="1"/>
  <c r="H358" i="1"/>
  <c r="G355" i="1"/>
  <c r="G356" i="1"/>
  <c r="G357" i="1"/>
  <c r="G358" i="1"/>
  <c r="F357" i="1"/>
  <c r="F358" i="1"/>
  <c r="F356" i="1"/>
  <c r="F35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2" i="1"/>
  <c r="U13" i="1"/>
  <c r="U14" i="1"/>
  <c r="U15" i="1"/>
  <c r="U27" i="1"/>
  <c r="U28" i="1"/>
  <c r="U29" i="1"/>
  <c r="U41" i="1"/>
  <c r="U42" i="1"/>
  <c r="U43" i="1"/>
  <c r="U55" i="1"/>
  <c r="U56" i="1"/>
  <c r="U57" i="1"/>
  <c r="U69" i="1"/>
  <c r="U70" i="1"/>
  <c r="U71" i="1"/>
  <c r="U83" i="1"/>
  <c r="U84" i="1"/>
  <c r="U85" i="1"/>
  <c r="U97" i="1"/>
  <c r="U98" i="1"/>
  <c r="U99" i="1"/>
  <c r="U109" i="1"/>
  <c r="U110" i="1"/>
  <c r="U111" i="1"/>
  <c r="U112" i="1"/>
  <c r="U113" i="1"/>
  <c r="U123" i="1"/>
  <c r="U125" i="1"/>
  <c r="U126" i="1"/>
  <c r="U127" i="1"/>
  <c r="U139" i="1"/>
  <c r="U140" i="1"/>
  <c r="U141" i="1"/>
  <c r="U154" i="1"/>
  <c r="U155" i="1"/>
  <c r="U168" i="1"/>
  <c r="U169" i="1"/>
  <c r="U182" i="1"/>
  <c r="U183" i="1"/>
  <c r="U196" i="1"/>
  <c r="U197" i="1"/>
  <c r="U235" i="1"/>
  <c r="U277" i="1"/>
  <c r="U309" i="1"/>
  <c r="U319" i="1"/>
  <c r="U320" i="1"/>
  <c r="U321" i="1"/>
  <c r="U322" i="1"/>
  <c r="U323" i="1"/>
  <c r="U334" i="1"/>
  <c r="U335" i="1"/>
  <c r="U336" i="1"/>
  <c r="U337" i="1"/>
  <c r="U351" i="1"/>
  <c r="V15" i="1"/>
  <c r="V26" i="1"/>
  <c r="V28" i="1"/>
  <c r="V29" i="1"/>
  <c r="V40" i="1"/>
  <c r="V70" i="1"/>
  <c r="V71" i="1"/>
  <c r="V84" i="1"/>
  <c r="V85" i="1"/>
  <c r="V95" i="1"/>
  <c r="V96" i="1"/>
  <c r="V126" i="1"/>
  <c r="V127" i="1"/>
  <c r="V137" i="1"/>
  <c r="V138" i="1"/>
  <c r="V140" i="1"/>
  <c r="V141" i="1"/>
  <c r="V168" i="1"/>
  <c r="V183" i="1"/>
  <c r="V196" i="1"/>
  <c r="V197" i="1"/>
  <c r="V222" i="1"/>
  <c r="V322" i="1"/>
  <c r="V333" i="1"/>
  <c r="V334" i="1"/>
  <c r="V336" i="1"/>
  <c r="V337" i="1"/>
  <c r="V347" i="1"/>
  <c r="V351" i="1"/>
  <c r="T40" i="1"/>
  <c r="U40" i="1" s="1"/>
  <c r="T54" i="1"/>
  <c r="U54" i="1" s="1"/>
  <c r="T109" i="1"/>
  <c r="T110" i="1"/>
  <c r="T123" i="1"/>
  <c r="T124" i="1"/>
  <c r="U124" i="1" s="1"/>
  <c r="T218" i="1"/>
  <c r="U218" i="1" s="1"/>
  <c r="T219" i="1"/>
  <c r="U219" i="1" s="1"/>
  <c r="T222" i="1"/>
  <c r="U222" i="1" s="1"/>
  <c r="T232" i="1"/>
  <c r="U232" i="1" s="1"/>
  <c r="T264" i="1"/>
  <c r="U264" i="1" s="1"/>
  <c r="T274" i="1"/>
  <c r="U274" i="1" s="1"/>
  <c r="T275" i="1"/>
  <c r="U275" i="1" s="1"/>
  <c r="T288" i="1"/>
  <c r="U288" i="1" s="1"/>
  <c r="T319" i="1"/>
  <c r="T320" i="1"/>
  <c r="T333" i="1"/>
  <c r="U333" i="1" s="1"/>
  <c r="T334" i="1"/>
  <c r="T343" i="1"/>
  <c r="U343" i="1" s="1"/>
  <c r="T344" i="1"/>
  <c r="U344" i="1" s="1"/>
  <c r="T345" i="1"/>
  <c r="U345" i="1" s="1"/>
  <c r="S62" i="1"/>
  <c r="S65" i="1"/>
  <c r="S76" i="1"/>
  <c r="S122" i="1"/>
  <c r="S136" i="1"/>
  <c r="S146" i="1"/>
  <c r="S147" i="1"/>
  <c r="S188" i="1"/>
  <c r="S189" i="1"/>
  <c r="S191" i="1"/>
  <c r="S192" i="1"/>
  <c r="S202" i="1"/>
  <c r="S203" i="1"/>
  <c r="S244" i="1"/>
  <c r="S245" i="1"/>
  <c r="S247" i="1"/>
  <c r="S258" i="1"/>
  <c r="S259" i="1"/>
  <c r="S300" i="1"/>
  <c r="S301" i="1"/>
  <c r="S303" i="1"/>
  <c r="S315" i="1"/>
  <c r="S329" i="1"/>
  <c r="L189" i="1"/>
  <c r="J46" i="1"/>
  <c r="G3" i="1"/>
  <c r="L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M28" i="1" s="1"/>
  <c r="G29" i="1"/>
  <c r="G30" i="1"/>
  <c r="G31" i="1"/>
  <c r="G32" i="1"/>
  <c r="G33" i="1"/>
  <c r="N33" i="1" s="1"/>
  <c r="G34" i="1"/>
  <c r="G35" i="1"/>
  <c r="G36" i="1"/>
  <c r="G37" i="1"/>
  <c r="G38" i="1"/>
  <c r="G39" i="1"/>
  <c r="G40" i="1"/>
  <c r="G41" i="1"/>
  <c r="G42" i="1"/>
  <c r="N42" i="1" s="1"/>
  <c r="G43" i="1"/>
  <c r="G44" i="1"/>
  <c r="G45" i="1"/>
  <c r="G46" i="1"/>
  <c r="G47" i="1"/>
  <c r="G48" i="1"/>
  <c r="G49" i="1"/>
  <c r="G50" i="1"/>
  <c r="G51" i="1"/>
  <c r="G52" i="1"/>
  <c r="L52" i="1" s="1"/>
  <c r="G53" i="1"/>
  <c r="L53" i="1" s="1"/>
  <c r="G54" i="1"/>
  <c r="G55" i="1"/>
  <c r="M55" i="1" s="1"/>
  <c r="G56" i="1"/>
  <c r="N56" i="1" s="1"/>
  <c r="G57" i="1"/>
  <c r="N57" i="1" s="1"/>
  <c r="G58" i="1"/>
  <c r="M58" i="1" s="1"/>
  <c r="G59" i="1"/>
  <c r="G60" i="1"/>
  <c r="G61" i="1"/>
  <c r="G62" i="1"/>
  <c r="G63" i="1"/>
  <c r="G64" i="1"/>
  <c r="G65" i="1"/>
  <c r="G66" i="1"/>
  <c r="G67" i="1"/>
  <c r="G68" i="1"/>
  <c r="M68" i="1" s="1"/>
  <c r="G69" i="1"/>
  <c r="G70" i="1"/>
  <c r="G71" i="1"/>
  <c r="G72" i="1"/>
  <c r="G73" i="1"/>
  <c r="G74" i="1"/>
  <c r="G75" i="1"/>
  <c r="G76" i="1"/>
  <c r="L76" i="1" s="1"/>
  <c r="G77" i="1"/>
  <c r="L77" i="1" s="1"/>
  <c r="G78" i="1"/>
  <c r="M78" i="1" s="1"/>
  <c r="G79" i="1"/>
  <c r="M79" i="1" s="1"/>
  <c r="G80" i="1"/>
  <c r="G81" i="1"/>
  <c r="G82" i="1"/>
  <c r="G83" i="1"/>
  <c r="G84" i="1"/>
  <c r="G85" i="1"/>
  <c r="G86" i="1"/>
  <c r="G87" i="1"/>
  <c r="N87" i="1" s="1"/>
  <c r="G88" i="1"/>
  <c r="G89" i="1"/>
  <c r="G90" i="1"/>
  <c r="M90" i="1" s="1"/>
  <c r="G91" i="1"/>
  <c r="G92" i="1"/>
  <c r="G93" i="1"/>
  <c r="G94" i="1"/>
  <c r="G95" i="1"/>
  <c r="G96" i="1"/>
  <c r="G97" i="1"/>
  <c r="G98" i="1"/>
  <c r="G99" i="1"/>
  <c r="G100" i="1"/>
  <c r="M100" i="1" s="1"/>
  <c r="G101" i="1"/>
  <c r="N101" i="1" s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L115" i="1" s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L128" i="1" s="1"/>
  <c r="G129" i="1"/>
  <c r="L129" i="1" s="1"/>
  <c r="G130" i="1"/>
  <c r="G131" i="1"/>
  <c r="M131" i="1" s="1"/>
  <c r="G132" i="1"/>
  <c r="L132" i="1" s="1"/>
  <c r="G133" i="1"/>
  <c r="L133" i="1" s="1"/>
  <c r="G134" i="1"/>
  <c r="G135" i="1"/>
  <c r="G136" i="1"/>
  <c r="G137" i="1"/>
  <c r="M137" i="1" s="1"/>
  <c r="G138" i="1"/>
  <c r="M138" i="1" s="1"/>
  <c r="G139" i="1"/>
  <c r="G140" i="1"/>
  <c r="G141" i="1"/>
  <c r="G142" i="1"/>
  <c r="G143" i="1"/>
  <c r="G144" i="1"/>
  <c r="G145" i="1"/>
  <c r="G146" i="1"/>
  <c r="G147" i="1"/>
  <c r="M147" i="1" s="1"/>
  <c r="G148" i="1"/>
  <c r="G149" i="1"/>
  <c r="G150" i="1"/>
  <c r="G151" i="1"/>
  <c r="G152" i="1"/>
  <c r="G153" i="1"/>
  <c r="G154" i="1"/>
  <c r="N154" i="1" s="1"/>
  <c r="G155" i="1"/>
  <c r="N155" i="1" s="1"/>
  <c r="G156" i="1"/>
  <c r="N156" i="1" s="1"/>
  <c r="G157" i="1"/>
  <c r="G158" i="1"/>
  <c r="G159" i="1"/>
  <c r="G160" i="1"/>
  <c r="G161" i="1"/>
  <c r="G162" i="1"/>
  <c r="G163" i="1"/>
  <c r="G164" i="1"/>
  <c r="G165" i="1"/>
  <c r="G166" i="1"/>
  <c r="G167" i="1"/>
  <c r="G168" i="1"/>
  <c r="L168" i="1" s="1"/>
  <c r="G169" i="1"/>
  <c r="N169" i="1" s="1"/>
  <c r="G170" i="1"/>
  <c r="G171" i="1"/>
  <c r="L171" i="1" s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L186" i="1" s="1"/>
  <c r="G187" i="1"/>
  <c r="G188" i="1"/>
  <c r="N188" i="1" s="1"/>
  <c r="G189" i="1"/>
  <c r="N189" i="1" s="1"/>
  <c r="G190" i="1"/>
  <c r="G191" i="1"/>
  <c r="G192" i="1"/>
  <c r="G193" i="1"/>
  <c r="N193" i="1" s="1"/>
  <c r="G194" i="1"/>
  <c r="G195" i="1"/>
  <c r="N195" i="1" s="1"/>
  <c r="G196" i="1"/>
  <c r="M196" i="1" s="1"/>
  <c r="G197" i="1"/>
  <c r="N197" i="1" s="1"/>
  <c r="G198" i="1"/>
  <c r="G199" i="1"/>
  <c r="G200" i="1"/>
  <c r="G201" i="1"/>
  <c r="G202" i="1"/>
  <c r="G203" i="1"/>
  <c r="G204" i="1"/>
  <c r="G205" i="1"/>
  <c r="G206" i="1"/>
  <c r="M206" i="1" s="1"/>
  <c r="G207" i="1"/>
  <c r="L207" i="1" s="1"/>
  <c r="G208" i="1"/>
  <c r="G209" i="1"/>
  <c r="G210" i="1"/>
  <c r="G211" i="1"/>
  <c r="G212" i="1"/>
  <c r="L212" i="1" s="1"/>
  <c r="G213" i="1"/>
  <c r="G214" i="1"/>
  <c r="G215" i="1"/>
  <c r="N215" i="1" s="1"/>
  <c r="G216" i="1"/>
  <c r="N216" i="1" s="1"/>
  <c r="G217" i="1"/>
  <c r="N217" i="1" s="1"/>
  <c r="G218" i="1"/>
  <c r="G219" i="1"/>
  <c r="G220" i="1"/>
  <c r="G221" i="1"/>
  <c r="G222" i="1"/>
  <c r="G223" i="1"/>
  <c r="G224" i="1"/>
  <c r="G225" i="1"/>
  <c r="G226" i="1"/>
  <c r="L226" i="1" s="1"/>
  <c r="G227" i="1"/>
  <c r="L227" i="1" s="1"/>
  <c r="G228" i="1"/>
  <c r="G229" i="1"/>
  <c r="G230" i="1"/>
  <c r="G231" i="1"/>
  <c r="M231" i="1" s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N252" i="1" s="1"/>
  <c r="G253" i="1"/>
  <c r="G254" i="1"/>
  <c r="N254" i="1" s="1"/>
  <c r="G255" i="1"/>
  <c r="N255" i="1" s="1"/>
  <c r="G256" i="1"/>
  <c r="G257" i="1"/>
  <c r="G258" i="1"/>
  <c r="G259" i="1"/>
  <c r="G260" i="1"/>
  <c r="G261" i="1"/>
  <c r="G262" i="1"/>
  <c r="L262" i="1" s="1"/>
  <c r="G263" i="1"/>
  <c r="L263" i="1" s="1"/>
  <c r="G264" i="1"/>
  <c r="N264" i="1" s="1"/>
  <c r="G265" i="1"/>
  <c r="L265" i="1" s="1"/>
  <c r="G266" i="1"/>
  <c r="G267" i="1"/>
  <c r="G268" i="1"/>
  <c r="L268" i="1" s="1"/>
  <c r="G269" i="1"/>
  <c r="G270" i="1"/>
  <c r="L270" i="1" s="1"/>
  <c r="G271" i="1"/>
  <c r="N271" i="1" s="1"/>
  <c r="G272" i="1"/>
  <c r="N272" i="1" s="1"/>
  <c r="G273" i="1"/>
  <c r="M273" i="1" s="1"/>
  <c r="G274" i="1"/>
  <c r="M274" i="1" s="1"/>
  <c r="G275" i="1"/>
  <c r="G276" i="1"/>
  <c r="G277" i="1"/>
  <c r="G278" i="1"/>
  <c r="G279" i="1"/>
  <c r="G280" i="1"/>
  <c r="G281" i="1"/>
  <c r="G282" i="1"/>
  <c r="G283" i="1"/>
  <c r="N283" i="1" s="1"/>
  <c r="G284" i="1"/>
  <c r="G285" i="1"/>
  <c r="G286" i="1"/>
  <c r="G287" i="1"/>
  <c r="M287" i="1" s="1"/>
  <c r="G288" i="1"/>
  <c r="M288" i="1" s="1"/>
  <c r="G289" i="1"/>
  <c r="G290" i="1"/>
  <c r="G291" i="1"/>
  <c r="G292" i="1"/>
  <c r="G293" i="1"/>
  <c r="G294" i="1"/>
  <c r="L294" i="1" s="1"/>
  <c r="G295" i="1"/>
  <c r="N295" i="1" s="1"/>
  <c r="G296" i="1"/>
  <c r="L296" i="1" s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N309" i="1" s="1"/>
  <c r="G310" i="1"/>
  <c r="N310" i="1" s="1"/>
  <c r="G311" i="1"/>
  <c r="N311" i="1" s="1"/>
  <c r="G312" i="1"/>
  <c r="G313" i="1"/>
  <c r="G314" i="1"/>
  <c r="N314" i="1" s="1"/>
  <c r="G315" i="1"/>
  <c r="N315" i="1" s="1"/>
  <c r="G316" i="1"/>
  <c r="G317" i="1"/>
  <c r="G318" i="1"/>
  <c r="G319" i="1"/>
  <c r="G320" i="1"/>
  <c r="G321" i="1"/>
  <c r="G322" i="1"/>
  <c r="M322" i="1" s="1"/>
  <c r="G323" i="1"/>
  <c r="G324" i="1"/>
  <c r="G325" i="1"/>
  <c r="N325" i="1" s="1"/>
  <c r="G326" i="1"/>
  <c r="G327" i="1"/>
  <c r="M327" i="1" s="1"/>
  <c r="G328" i="1"/>
  <c r="M328" i="1" s="1"/>
  <c r="G329" i="1"/>
  <c r="L329" i="1" s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N349" i="1" s="1"/>
  <c r="G350" i="1"/>
  <c r="L350" i="1" s="1"/>
  <c r="G351" i="1"/>
  <c r="N351" i="1" s="1"/>
  <c r="G352" i="1"/>
  <c r="M352" i="1" s="1"/>
  <c r="G353" i="1"/>
  <c r="M353" i="1" s="1"/>
  <c r="G354" i="1"/>
  <c r="G2" i="1"/>
  <c r="N2" i="1" s="1"/>
  <c r="F3" i="1"/>
  <c r="J3" i="1" s="1"/>
  <c r="F4" i="1"/>
  <c r="F5" i="1"/>
  <c r="F6" i="1"/>
  <c r="F7" i="1"/>
  <c r="F8" i="1"/>
  <c r="F9" i="1"/>
  <c r="F10" i="1"/>
  <c r="F11" i="1"/>
  <c r="H11" i="1" s="1"/>
  <c r="I11" i="1" s="1"/>
  <c r="F12" i="1"/>
  <c r="F13" i="1"/>
  <c r="F14" i="1"/>
  <c r="F15" i="1"/>
  <c r="F16" i="1"/>
  <c r="K16" i="1" s="1"/>
  <c r="F17" i="1"/>
  <c r="F18" i="1"/>
  <c r="J18" i="1" s="1"/>
  <c r="F19" i="1"/>
  <c r="F20" i="1"/>
  <c r="F21" i="1"/>
  <c r="F22" i="1"/>
  <c r="F23" i="1"/>
  <c r="F24" i="1"/>
  <c r="F25" i="1"/>
  <c r="H25" i="1" s="1"/>
  <c r="I25" i="1" s="1"/>
  <c r="F26" i="1"/>
  <c r="H26" i="1" s="1"/>
  <c r="I26" i="1" s="1"/>
  <c r="F27" i="1"/>
  <c r="K27" i="1" s="1"/>
  <c r="F28" i="1"/>
  <c r="K28" i="1" s="1"/>
  <c r="F29" i="1"/>
  <c r="J29" i="1" s="1"/>
  <c r="F30" i="1"/>
  <c r="J30" i="1" s="1"/>
  <c r="F31" i="1"/>
  <c r="F32" i="1"/>
  <c r="K32" i="1" s="1"/>
  <c r="F33" i="1"/>
  <c r="H33" i="1" s="1"/>
  <c r="I33" i="1" s="1"/>
  <c r="F34" i="1"/>
  <c r="H34" i="1" s="1"/>
  <c r="I34" i="1" s="1"/>
  <c r="F35" i="1"/>
  <c r="J35" i="1" s="1"/>
  <c r="F36" i="1"/>
  <c r="F37" i="1"/>
  <c r="F38" i="1"/>
  <c r="F39" i="1"/>
  <c r="H39" i="1" s="1"/>
  <c r="I39" i="1" s="1"/>
  <c r="F40" i="1"/>
  <c r="H40" i="1" s="1"/>
  <c r="I40" i="1" s="1"/>
  <c r="F41" i="1"/>
  <c r="H41" i="1" s="1"/>
  <c r="I41" i="1" s="1"/>
  <c r="F42" i="1"/>
  <c r="F43" i="1"/>
  <c r="F44" i="1"/>
  <c r="F45" i="1"/>
  <c r="F46" i="1"/>
  <c r="H46" i="1" s="1"/>
  <c r="I46" i="1" s="1"/>
  <c r="F47" i="1"/>
  <c r="K47" i="1" s="1"/>
  <c r="F48" i="1"/>
  <c r="F49" i="1"/>
  <c r="F50" i="1"/>
  <c r="F51" i="1"/>
  <c r="F52" i="1"/>
  <c r="F53" i="1"/>
  <c r="F54" i="1"/>
  <c r="H54" i="1" s="1"/>
  <c r="I54" i="1" s="1"/>
  <c r="F55" i="1"/>
  <c r="H55" i="1" s="1"/>
  <c r="I55" i="1" s="1"/>
  <c r="F56" i="1"/>
  <c r="H56" i="1" s="1"/>
  <c r="I56" i="1" s="1"/>
  <c r="F57" i="1"/>
  <c r="K57" i="1" s="1"/>
  <c r="F58" i="1"/>
  <c r="K58" i="1" s="1"/>
  <c r="F59" i="1"/>
  <c r="J59" i="1" s="1"/>
  <c r="F60" i="1"/>
  <c r="J60" i="1" s="1"/>
  <c r="F61" i="1"/>
  <c r="J61" i="1" s="1"/>
  <c r="F62" i="1"/>
  <c r="J62" i="1" s="1"/>
  <c r="F63" i="1"/>
  <c r="J63" i="1" s="1"/>
  <c r="F64" i="1"/>
  <c r="F65" i="1"/>
  <c r="F66" i="1"/>
  <c r="F67" i="1"/>
  <c r="K67" i="1" s="1"/>
  <c r="F68" i="1"/>
  <c r="H68" i="1" s="1"/>
  <c r="I68" i="1" s="1"/>
  <c r="F69" i="1"/>
  <c r="H69" i="1" s="1"/>
  <c r="I69" i="1" s="1"/>
  <c r="F70" i="1"/>
  <c r="J70" i="1" s="1"/>
  <c r="F71" i="1"/>
  <c r="H71" i="1" s="1"/>
  <c r="I71" i="1" s="1"/>
  <c r="F72" i="1"/>
  <c r="F73" i="1"/>
  <c r="F74" i="1"/>
  <c r="K74" i="1" s="1"/>
  <c r="F75" i="1"/>
  <c r="F76" i="1"/>
  <c r="F77" i="1"/>
  <c r="F78" i="1"/>
  <c r="F79" i="1"/>
  <c r="F80" i="1"/>
  <c r="H80" i="1" s="1"/>
  <c r="I80" i="1" s="1"/>
  <c r="F81" i="1"/>
  <c r="J81" i="1" s="1"/>
  <c r="F82" i="1"/>
  <c r="J82" i="1" s="1"/>
  <c r="F83" i="1"/>
  <c r="K83" i="1" s="1"/>
  <c r="F84" i="1"/>
  <c r="J84" i="1" s="1"/>
  <c r="F85" i="1"/>
  <c r="F86" i="1"/>
  <c r="F87" i="1"/>
  <c r="J87" i="1" s="1"/>
  <c r="F88" i="1"/>
  <c r="J88" i="1" s="1"/>
  <c r="F89" i="1"/>
  <c r="J89" i="1" s="1"/>
  <c r="F90" i="1"/>
  <c r="J90" i="1" s="1"/>
  <c r="F91" i="1"/>
  <c r="F92" i="1"/>
  <c r="F93" i="1"/>
  <c r="F94" i="1"/>
  <c r="F95" i="1"/>
  <c r="H95" i="1" s="1"/>
  <c r="I95" i="1" s="1"/>
  <c r="F96" i="1"/>
  <c r="F97" i="1"/>
  <c r="K97" i="1" s="1"/>
  <c r="F98" i="1"/>
  <c r="H98" i="1" s="1"/>
  <c r="I98" i="1" s="1"/>
  <c r="F99" i="1"/>
  <c r="J99" i="1" s="1"/>
  <c r="F100" i="1"/>
  <c r="J100" i="1" s="1"/>
  <c r="F101" i="1"/>
  <c r="K101" i="1" s="1"/>
  <c r="F102" i="1"/>
  <c r="F103" i="1"/>
  <c r="F104" i="1"/>
  <c r="F105" i="1"/>
  <c r="F106" i="1"/>
  <c r="F107" i="1"/>
  <c r="F108" i="1"/>
  <c r="F109" i="1"/>
  <c r="K109" i="1" s="1"/>
  <c r="F110" i="1"/>
  <c r="J110" i="1" s="1"/>
  <c r="F111" i="1"/>
  <c r="F112" i="1"/>
  <c r="F113" i="1"/>
  <c r="F114" i="1"/>
  <c r="J114" i="1" s="1"/>
  <c r="F115" i="1"/>
  <c r="F116" i="1"/>
  <c r="F117" i="1"/>
  <c r="F118" i="1"/>
  <c r="F119" i="1"/>
  <c r="F120" i="1"/>
  <c r="J120" i="1" s="1"/>
  <c r="F121" i="1"/>
  <c r="J121" i="1" s="1"/>
  <c r="F122" i="1"/>
  <c r="J122" i="1" s="1"/>
  <c r="F123" i="1"/>
  <c r="K123" i="1" s="1"/>
  <c r="F124" i="1"/>
  <c r="F125" i="1"/>
  <c r="F126" i="1"/>
  <c r="K126" i="1" s="1"/>
  <c r="F127" i="1"/>
  <c r="F128" i="1"/>
  <c r="J128" i="1" s="1"/>
  <c r="F129" i="1"/>
  <c r="F130" i="1"/>
  <c r="F131" i="1"/>
  <c r="F132" i="1"/>
  <c r="F133" i="1"/>
  <c r="F134" i="1"/>
  <c r="F135" i="1"/>
  <c r="F136" i="1"/>
  <c r="F137" i="1"/>
  <c r="K137" i="1" s="1"/>
  <c r="F138" i="1"/>
  <c r="F139" i="1"/>
  <c r="K139" i="1" s="1"/>
  <c r="F140" i="1"/>
  <c r="J140" i="1" s="1"/>
  <c r="F141" i="1"/>
  <c r="K141" i="1" s="1"/>
  <c r="F142" i="1"/>
  <c r="K142" i="1" s="1"/>
  <c r="F143" i="1"/>
  <c r="K143" i="1" s="1"/>
  <c r="F144" i="1"/>
  <c r="K144" i="1" s="1"/>
  <c r="F145" i="1"/>
  <c r="K145" i="1" s="1"/>
  <c r="F146" i="1"/>
  <c r="H146" i="1" s="1"/>
  <c r="I146" i="1" s="1"/>
  <c r="F147" i="1"/>
  <c r="F148" i="1"/>
  <c r="J148" i="1" s="1"/>
  <c r="F149" i="1"/>
  <c r="F150" i="1"/>
  <c r="F151" i="1"/>
  <c r="F152" i="1"/>
  <c r="H152" i="1" s="1"/>
  <c r="I152" i="1" s="1"/>
  <c r="F153" i="1"/>
  <c r="H153" i="1" s="1"/>
  <c r="I153" i="1" s="1"/>
  <c r="F154" i="1"/>
  <c r="H154" i="1" s="1"/>
  <c r="I154" i="1" s="1"/>
  <c r="F155" i="1"/>
  <c r="H155" i="1" s="1"/>
  <c r="I155" i="1" s="1"/>
  <c r="F156" i="1"/>
  <c r="H156" i="1" s="1"/>
  <c r="I156" i="1" s="1"/>
  <c r="F157" i="1"/>
  <c r="F158" i="1"/>
  <c r="F159" i="1"/>
  <c r="F160" i="1"/>
  <c r="F161" i="1"/>
  <c r="F162" i="1"/>
  <c r="F163" i="1"/>
  <c r="F164" i="1"/>
  <c r="H164" i="1" s="1"/>
  <c r="I164" i="1" s="1"/>
  <c r="F165" i="1"/>
  <c r="K165" i="1" s="1"/>
  <c r="F166" i="1"/>
  <c r="K166" i="1" s="1"/>
  <c r="F167" i="1"/>
  <c r="K167" i="1" s="1"/>
  <c r="F168" i="1"/>
  <c r="K168" i="1" s="1"/>
  <c r="F169" i="1"/>
  <c r="F170" i="1"/>
  <c r="F171" i="1"/>
  <c r="F172" i="1"/>
  <c r="F173" i="1"/>
  <c r="F174" i="1"/>
  <c r="F175" i="1"/>
  <c r="F176" i="1"/>
  <c r="F177" i="1"/>
  <c r="J177" i="1" s="1"/>
  <c r="F178" i="1"/>
  <c r="H178" i="1" s="1"/>
  <c r="I178" i="1" s="1"/>
  <c r="F179" i="1"/>
  <c r="J179" i="1" s="1"/>
  <c r="F180" i="1"/>
  <c r="J180" i="1" s="1"/>
  <c r="F181" i="1"/>
  <c r="F182" i="1"/>
  <c r="K182" i="1" s="1"/>
  <c r="F183" i="1"/>
  <c r="F184" i="1"/>
  <c r="F185" i="1"/>
  <c r="F186" i="1"/>
  <c r="F187" i="1"/>
  <c r="F188" i="1"/>
  <c r="F189" i="1"/>
  <c r="F190" i="1"/>
  <c r="F191" i="1"/>
  <c r="F192" i="1"/>
  <c r="K192" i="1" s="1"/>
  <c r="F193" i="1"/>
  <c r="H193" i="1" s="1"/>
  <c r="I193" i="1" s="1"/>
  <c r="F194" i="1"/>
  <c r="H194" i="1" s="1"/>
  <c r="I194" i="1" s="1"/>
  <c r="F195" i="1"/>
  <c r="K195" i="1" s="1"/>
  <c r="F196" i="1"/>
  <c r="K196" i="1" s="1"/>
  <c r="F197" i="1"/>
  <c r="J197" i="1" s="1"/>
  <c r="F198" i="1"/>
  <c r="H198" i="1" s="1"/>
  <c r="I198" i="1" s="1"/>
  <c r="F199" i="1"/>
  <c r="F200" i="1"/>
  <c r="K200" i="1" s="1"/>
  <c r="F201" i="1"/>
  <c r="H201" i="1" s="1"/>
  <c r="I201" i="1" s="1"/>
  <c r="F202" i="1"/>
  <c r="F203" i="1"/>
  <c r="F204" i="1"/>
  <c r="J204" i="1" s="1"/>
  <c r="F205" i="1"/>
  <c r="F206" i="1"/>
  <c r="F207" i="1"/>
  <c r="K207" i="1" s="1"/>
  <c r="F208" i="1"/>
  <c r="F209" i="1"/>
  <c r="F210" i="1"/>
  <c r="F211" i="1"/>
  <c r="F212" i="1"/>
  <c r="H212" i="1" s="1"/>
  <c r="I212" i="1" s="1"/>
  <c r="F213" i="1"/>
  <c r="F214" i="1"/>
  <c r="F215" i="1"/>
  <c r="F216" i="1"/>
  <c r="F217" i="1"/>
  <c r="F218" i="1"/>
  <c r="F219" i="1"/>
  <c r="F220" i="1"/>
  <c r="H220" i="1" s="1"/>
  <c r="I220" i="1" s="1"/>
  <c r="F221" i="1"/>
  <c r="K221" i="1" s="1"/>
  <c r="F222" i="1"/>
  <c r="K222" i="1" s="1"/>
  <c r="F223" i="1"/>
  <c r="K223" i="1" s="1"/>
  <c r="F224" i="1"/>
  <c r="K224" i="1" s="1"/>
  <c r="F225" i="1"/>
  <c r="J225" i="1" s="1"/>
  <c r="F226" i="1"/>
  <c r="F227" i="1"/>
  <c r="F228" i="1"/>
  <c r="F229" i="1"/>
  <c r="J229" i="1" s="1"/>
  <c r="F230" i="1"/>
  <c r="J230" i="1" s="1"/>
  <c r="F231" i="1"/>
  <c r="F232" i="1"/>
  <c r="F233" i="1"/>
  <c r="F234" i="1"/>
  <c r="F235" i="1"/>
  <c r="K235" i="1" s="1"/>
  <c r="F236" i="1"/>
  <c r="K236" i="1" s="1"/>
  <c r="F237" i="1"/>
  <c r="K237" i="1" s="1"/>
  <c r="F238" i="1"/>
  <c r="H238" i="1" s="1"/>
  <c r="I238" i="1" s="1"/>
  <c r="F239" i="1"/>
  <c r="K239" i="1" s="1"/>
  <c r="F240" i="1"/>
  <c r="K240" i="1" s="1"/>
  <c r="F241" i="1"/>
  <c r="F242" i="1"/>
  <c r="F243" i="1"/>
  <c r="F244" i="1"/>
  <c r="F245" i="1"/>
  <c r="F246" i="1"/>
  <c r="F247" i="1"/>
  <c r="F248" i="1"/>
  <c r="F249" i="1"/>
  <c r="F250" i="1"/>
  <c r="H250" i="1" s="1"/>
  <c r="I250" i="1" s="1"/>
  <c r="F251" i="1"/>
  <c r="H251" i="1" s="1"/>
  <c r="I251" i="1" s="1"/>
  <c r="F252" i="1"/>
  <c r="J252" i="1" s="1"/>
  <c r="F253" i="1"/>
  <c r="J253" i="1" s="1"/>
  <c r="F254" i="1"/>
  <c r="H254" i="1" s="1"/>
  <c r="I254" i="1" s="1"/>
  <c r="F255" i="1"/>
  <c r="F256" i="1"/>
  <c r="F257" i="1"/>
  <c r="J257" i="1" s="1"/>
  <c r="F258" i="1"/>
  <c r="J258" i="1" s="1"/>
  <c r="F259" i="1"/>
  <c r="F260" i="1"/>
  <c r="F261" i="1"/>
  <c r="F262" i="1"/>
  <c r="F263" i="1"/>
  <c r="K263" i="1" s="1"/>
  <c r="F264" i="1"/>
  <c r="K264" i="1" s="1"/>
  <c r="F265" i="1"/>
  <c r="K265" i="1" s="1"/>
  <c r="F266" i="1"/>
  <c r="K266" i="1" s="1"/>
  <c r="F267" i="1"/>
  <c r="H267" i="1" s="1"/>
  <c r="I267" i="1" s="1"/>
  <c r="F268" i="1"/>
  <c r="F269" i="1"/>
  <c r="F270" i="1"/>
  <c r="F271" i="1"/>
  <c r="F272" i="1"/>
  <c r="F273" i="1"/>
  <c r="F274" i="1"/>
  <c r="F275" i="1"/>
  <c r="F276" i="1"/>
  <c r="H276" i="1" s="1"/>
  <c r="I276" i="1" s="1"/>
  <c r="F277" i="1"/>
  <c r="J277" i="1" s="1"/>
  <c r="F278" i="1"/>
  <c r="J278" i="1" s="1"/>
  <c r="F279" i="1"/>
  <c r="J279" i="1" s="1"/>
  <c r="F280" i="1"/>
  <c r="K280" i="1" s="1"/>
  <c r="F281" i="1"/>
  <c r="H281" i="1" s="1"/>
  <c r="I281" i="1" s="1"/>
  <c r="F282" i="1"/>
  <c r="H282" i="1" s="1"/>
  <c r="I282" i="1" s="1"/>
  <c r="F283" i="1"/>
  <c r="F284" i="1"/>
  <c r="K284" i="1" s="1"/>
  <c r="F285" i="1"/>
  <c r="H285" i="1" s="1"/>
  <c r="I285" i="1" s="1"/>
  <c r="F286" i="1"/>
  <c r="H286" i="1" s="1"/>
  <c r="I286" i="1" s="1"/>
  <c r="F287" i="1"/>
  <c r="J287" i="1" s="1"/>
  <c r="F288" i="1"/>
  <c r="F289" i="1"/>
  <c r="F290" i="1"/>
  <c r="F291" i="1"/>
  <c r="H291" i="1" s="1"/>
  <c r="I291" i="1" s="1"/>
  <c r="F292" i="1"/>
  <c r="H292" i="1" s="1"/>
  <c r="I292" i="1" s="1"/>
  <c r="F293" i="1"/>
  <c r="K293" i="1" s="1"/>
  <c r="F294" i="1"/>
  <c r="K294" i="1" s="1"/>
  <c r="F295" i="1"/>
  <c r="H295" i="1" s="1"/>
  <c r="I295" i="1" s="1"/>
  <c r="F296" i="1"/>
  <c r="H296" i="1" s="1"/>
  <c r="I296" i="1" s="1"/>
  <c r="F297" i="1"/>
  <c r="F298" i="1"/>
  <c r="F299" i="1"/>
  <c r="F300" i="1"/>
  <c r="F301" i="1"/>
  <c r="F302" i="1"/>
  <c r="F303" i="1"/>
  <c r="F304" i="1"/>
  <c r="F305" i="1"/>
  <c r="K305" i="1" s="1"/>
  <c r="F306" i="1"/>
  <c r="J306" i="1" s="1"/>
  <c r="F307" i="1"/>
  <c r="K307" i="1" s="1"/>
  <c r="F308" i="1"/>
  <c r="K308" i="1" s="1"/>
  <c r="F309" i="1"/>
  <c r="K309" i="1" s="1"/>
  <c r="F310" i="1"/>
  <c r="J310" i="1" s="1"/>
  <c r="F311" i="1"/>
  <c r="K311" i="1" s="1"/>
  <c r="F312" i="1"/>
  <c r="F313" i="1"/>
  <c r="F314" i="1"/>
  <c r="F315" i="1"/>
  <c r="J315" i="1" s="1"/>
  <c r="F316" i="1"/>
  <c r="J316" i="1" s="1"/>
  <c r="F317" i="1"/>
  <c r="J317" i="1" s="1"/>
  <c r="F318" i="1"/>
  <c r="F319" i="1"/>
  <c r="K319" i="1" s="1"/>
  <c r="F320" i="1"/>
  <c r="K320" i="1" s="1"/>
  <c r="F321" i="1"/>
  <c r="K321" i="1" s="1"/>
  <c r="F322" i="1"/>
  <c r="J322" i="1" s="1"/>
  <c r="F323" i="1"/>
  <c r="J323" i="1" s="1"/>
  <c r="F324" i="1"/>
  <c r="J324" i="1" s="1"/>
  <c r="F325" i="1"/>
  <c r="F326" i="1"/>
  <c r="F327" i="1"/>
  <c r="F328" i="1"/>
  <c r="F329" i="1"/>
  <c r="F330" i="1"/>
  <c r="F331" i="1"/>
  <c r="F332" i="1"/>
  <c r="F333" i="1"/>
  <c r="K333" i="1" s="1"/>
  <c r="F334" i="1"/>
  <c r="K334" i="1" s="1"/>
  <c r="F335" i="1"/>
  <c r="K335" i="1" s="1"/>
  <c r="F336" i="1"/>
  <c r="H336" i="1" s="1"/>
  <c r="I336" i="1" s="1"/>
  <c r="F337" i="1"/>
  <c r="K337" i="1" s="1"/>
  <c r="F338" i="1"/>
  <c r="H338" i="1" s="1"/>
  <c r="I338" i="1" s="1"/>
  <c r="F339" i="1"/>
  <c r="F340" i="1"/>
  <c r="F341" i="1"/>
  <c r="J341" i="1" s="1"/>
  <c r="F342" i="1"/>
  <c r="J342" i="1" s="1"/>
  <c r="F343" i="1"/>
  <c r="J343" i="1" s="1"/>
  <c r="F344" i="1"/>
  <c r="F345" i="1"/>
  <c r="F346" i="1"/>
  <c r="F347" i="1"/>
  <c r="H347" i="1" s="1"/>
  <c r="I347" i="1" s="1"/>
  <c r="F348" i="1"/>
  <c r="H348" i="1" s="1"/>
  <c r="I348" i="1" s="1"/>
  <c r="F349" i="1"/>
  <c r="H349" i="1" s="1"/>
  <c r="I349" i="1" s="1"/>
  <c r="F350" i="1"/>
  <c r="J350" i="1" s="1"/>
  <c r="F351" i="1"/>
  <c r="F352" i="1"/>
  <c r="J352" i="1" s="1"/>
  <c r="F353" i="1"/>
  <c r="K353" i="1" s="1"/>
  <c r="F354" i="1"/>
  <c r="K354" i="1" s="1"/>
  <c r="F2" i="1"/>
  <c r="R339" i="1"/>
  <c r="V339" i="1" s="1"/>
  <c r="R340" i="1"/>
  <c r="V340" i="1" s="1"/>
  <c r="R341" i="1"/>
  <c r="V341" i="1" s="1"/>
  <c r="R342" i="1"/>
  <c r="V342" i="1" s="1"/>
  <c r="R343" i="1"/>
  <c r="V343" i="1" s="1"/>
  <c r="R344" i="1"/>
  <c r="V344" i="1" s="1"/>
  <c r="R345" i="1"/>
  <c r="R346" i="1"/>
  <c r="S346" i="1" s="1"/>
  <c r="R347" i="1"/>
  <c r="R348" i="1"/>
  <c r="R349" i="1"/>
  <c r="R350" i="1"/>
  <c r="T350" i="1" s="1"/>
  <c r="U350" i="1" s="1"/>
  <c r="R351" i="1"/>
  <c r="T351" i="1" s="1"/>
  <c r="R352" i="1"/>
  <c r="V352" i="1" s="1"/>
  <c r="R353" i="1"/>
  <c r="V353" i="1" s="1"/>
  <c r="R354" i="1"/>
  <c r="V354" i="1" s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R311" i="1"/>
  <c r="V311" i="1" s="1"/>
  <c r="R312" i="1"/>
  <c r="V312" i="1" s="1"/>
  <c r="R313" i="1"/>
  <c r="R314" i="1"/>
  <c r="R315" i="1"/>
  <c r="V315" i="1" s="1"/>
  <c r="R316" i="1"/>
  <c r="T316" i="1" s="1"/>
  <c r="U316" i="1" s="1"/>
  <c r="R317" i="1"/>
  <c r="V317" i="1" s="1"/>
  <c r="R318" i="1"/>
  <c r="S318" i="1" s="1"/>
  <c r="R319" i="1"/>
  <c r="S319" i="1" s="1"/>
  <c r="R320" i="1"/>
  <c r="S320" i="1" s="1"/>
  <c r="R321" i="1"/>
  <c r="T321" i="1" s="1"/>
  <c r="R322" i="1"/>
  <c r="T322" i="1" s="1"/>
  <c r="R323" i="1"/>
  <c r="T323" i="1" s="1"/>
  <c r="R324" i="1"/>
  <c r="V324" i="1" s="1"/>
  <c r="R325" i="1"/>
  <c r="V325" i="1" s="1"/>
  <c r="R326" i="1"/>
  <c r="V326" i="1" s="1"/>
  <c r="R327" i="1"/>
  <c r="R328" i="1"/>
  <c r="S328" i="1" s="1"/>
  <c r="R329" i="1"/>
  <c r="V329" i="1" s="1"/>
  <c r="R330" i="1"/>
  <c r="R331" i="1"/>
  <c r="V331" i="1" s="1"/>
  <c r="R332" i="1"/>
  <c r="R333" i="1"/>
  <c r="S333" i="1" s="1"/>
  <c r="R334" i="1"/>
  <c r="S334" i="1" s="1"/>
  <c r="R335" i="1"/>
  <c r="T335" i="1" s="1"/>
  <c r="R336" i="1"/>
  <c r="T336" i="1" s="1"/>
  <c r="R337" i="1"/>
  <c r="T337" i="1" s="1"/>
  <c r="R338" i="1"/>
  <c r="V338" i="1" s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R309" i="1"/>
  <c r="T309" i="1" s="1"/>
  <c r="R310" i="1"/>
  <c r="V310" i="1" s="1"/>
  <c r="P309" i="1"/>
  <c r="P310" i="1"/>
  <c r="R208" i="1"/>
  <c r="S208" i="1" s="1"/>
  <c r="R209" i="1"/>
  <c r="R210" i="1"/>
  <c r="V210" i="1" s="1"/>
  <c r="R211" i="1"/>
  <c r="T211" i="1" s="1"/>
  <c r="U211" i="1" s="1"/>
  <c r="R212" i="1"/>
  <c r="V212" i="1" s="1"/>
  <c r="R213" i="1"/>
  <c r="V213" i="1" s="1"/>
  <c r="R214" i="1"/>
  <c r="V214" i="1" s="1"/>
  <c r="R215" i="1"/>
  <c r="V215" i="1" s="1"/>
  <c r="R216" i="1"/>
  <c r="V216" i="1" s="1"/>
  <c r="R217" i="1"/>
  <c r="V217" i="1" s="1"/>
  <c r="R218" i="1"/>
  <c r="V218" i="1" s="1"/>
  <c r="R219" i="1"/>
  <c r="V219" i="1" s="1"/>
  <c r="R220" i="1"/>
  <c r="S220" i="1" s="1"/>
  <c r="R221" i="1"/>
  <c r="T221" i="1" s="1"/>
  <c r="U221" i="1" s="1"/>
  <c r="R222" i="1"/>
  <c r="S222" i="1" s="1"/>
  <c r="R223" i="1"/>
  <c r="R224" i="1"/>
  <c r="V224" i="1" s="1"/>
  <c r="R225" i="1"/>
  <c r="R226" i="1"/>
  <c r="V226" i="1" s="1"/>
  <c r="R227" i="1"/>
  <c r="V227" i="1" s="1"/>
  <c r="R228" i="1"/>
  <c r="V228" i="1" s="1"/>
  <c r="R229" i="1"/>
  <c r="V229" i="1" s="1"/>
  <c r="R230" i="1"/>
  <c r="V230" i="1" s="1"/>
  <c r="R231" i="1"/>
  <c r="V231" i="1" s="1"/>
  <c r="R232" i="1"/>
  <c r="V232" i="1" s="1"/>
  <c r="R233" i="1"/>
  <c r="V233" i="1" s="1"/>
  <c r="R234" i="1"/>
  <c r="S234" i="1" s="1"/>
  <c r="R235" i="1"/>
  <c r="T235" i="1" s="1"/>
  <c r="R236" i="1"/>
  <c r="R237" i="1"/>
  <c r="R238" i="1"/>
  <c r="R239" i="1"/>
  <c r="R240" i="1"/>
  <c r="V240" i="1" s="1"/>
  <c r="R241" i="1"/>
  <c r="V241" i="1" s="1"/>
  <c r="R242" i="1"/>
  <c r="V242" i="1" s="1"/>
  <c r="R243" i="1"/>
  <c r="V243" i="1" s="1"/>
  <c r="R244" i="1"/>
  <c r="V244" i="1" s="1"/>
  <c r="R245" i="1"/>
  <c r="V245" i="1" s="1"/>
  <c r="R246" i="1"/>
  <c r="V246" i="1" s="1"/>
  <c r="R247" i="1"/>
  <c r="V247" i="1" s="1"/>
  <c r="R248" i="1"/>
  <c r="S248" i="1" s="1"/>
  <c r="R249" i="1"/>
  <c r="T249" i="1" s="1"/>
  <c r="U249" i="1" s="1"/>
  <c r="R250" i="1"/>
  <c r="R251" i="1"/>
  <c r="R252" i="1"/>
  <c r="R253" i="1"/>
  <c r="R254" i="1"/>
  <c r="V254" i="1" s="1"/>
  <c r="R255" i="1"/>
  <c r="V255" i="1" s="1"/>
  <c r="R256" i="1"/>
  <c r="V256" i="1" s="1"/>
  <c r="R257" i="1"/>
  <c r="V257" i="1" s="1"/>
  <c r="R258" i="1"/>
  <c r="V258" i="1" s="1"/>
  <c r="R259" i="1"/>
  <c r="V259" i="1" s="1"/>
  <c r="R260" i="1"/>
  <c r="V260" i="1" s="1"/>
  <c r="R261" i="1"/>
  <c r="V261" i="1" s="1"/>
  <c r="R262" i="1"/>
  <c r="S262" i="1" s="1"/>
  <c r="R263" i="1"/>
  <c r="T263" i="1" s="1"/>
  <c r="U263" i="1" s="1"/>
  <c r="R264" i="1"/>
  <c r="R265" i="1"/>
  <c r="R266" i="1"/>
  <c r="V266" i="1" s="1"/>
  <c r="R267" i="1"/>
  <c r="R268" i="1"/>
  <c r="V268" i="1" s="1"/>
  <c r="R269" i="1"/>
  <c r="V269" i="1" s="1"/>
  <c r="R270" i="1"/>
  <c r="V270" i="1" s="1"/>
  <c r="R271" i="1"/>
  <c r="V271" i="1" s="1"/>
  <c r="R272" i="1"/>
  <c r="V272" i="1" s="1"/>
  <c r="R273" i="1"/>
  <c r="V273" i="1" s="1"/>
  <c r="R274" i="1"/>
  <c r="V274" i="1" s="1"/>
  <c r="R275" i="1"/>
  <c r="V275" i="1" s="1"/>
  <c r="R276" i="1"/>
  <c r="S276" i="1" s="1"/>
  <c r="R277" i="1"/>
  <c r="T277" i="1" s="1"/>
  <c r="R278" i="1"/>
  <c r="R279" i="1"/>
  <c r="R280" i="1"/>
  <c r="V280" i="1" s="1"/>
  <c r="R281" i="1"/>
  <c r="T281" i="1" s="1"/>
  <c r="U281" i="1" s="1"/>
  <c r="R282" i="1"/>
  <c r="V282" i="1" s="1"/>
  <c r="R283" i="1"/>
  <c r="V283" i="1" s="1"/>
  <c r="R284" i="1"/>
  <c r="V284" i="1" s="1"/>
  <c r="R285" i="1"/>
  <c r="V285" i="1" s="1"/>
  <c r="R286" i="1"/>
  <c r="V286" i="1" s="1"/>
  <c r="R287" i="1"/>
  <c r="V287" i="1" s="1"/>
  <c r="R288" i="1"/>
  <c r="V288" i="1" s="1"/>
  <c r="R289" i="1"/>
  <c r="V289" i="1" s="1"/>
  <c r="R290" i="1"/>
  <c r="S290" i="1" s="1"/>
  <c r="R291" i="1"/>
  <c r="T291" i="1" s="1"/>
  <c r="U291" i="1" s="1"/>
  <c r="R292" i="1"/>
  <c r="R293" i="1"/>
  <c r="R294" i="1"/>
  <c r="V294" i="1" s="1"/>
  <c r="R295" i="1"/>
  <c r="T295" i="1" s="1"/>
  <c r="U295" i="1" s="1"/>
  <c r="R296" i="1"/>
  <c r="V296" i="1" s="1"/>
  <c r="R297" i="1"/>
  <c r="V297" i="1" s="1"/>
  <c r="R298" i="1"/>
  <c r="V298" i="1" s="1"/>
  <c r="R299" i="1"/>
  <c r="V299" i="1" s="1"/>
  <c r="R300" i="1"/>
  <c r="V300" i="1" s="1"/>
  <c r="R301" i="1"/>
  <c r="V301" i="1" s="1"/>
  <c r="R302" i="1"/>
  <c r="V302" i="1" s="1"/>
  <c r="R303" i="1"/>
  <c r="V303" i="1" s="1"/>
  <c r="R304" i="1"/>
  <c r="S304" i="1" s="1"/>
  <c r="R305" i="1"/>
  <c r="T305" i="1" s="1"/>
  <c r="U305" i="1" s="1"/>
  <c r="R306" i="1"/>
  <c r="V306" i="1" s="1"/>
  <c r="R307" i="1"/>
  <c r="R308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R142" i="1"/>
  <c r="V142" i="1" s="1"/>
  <c r="R143" i="1"/>
  <c r="V143" i="1" s="1"/>
  <c r="R144" i="1"/>
  <c r="V144" i="1" s="1"/>
  <c r="R145" i="1"/>
  <c r="V145" i="1" s="1"/>
  <c r="R146" i="1"/>
  <c r="V146" i="1" s="1"/>
  <c r="R147" i="1"/>
  <c r="V147" i="1" s="1"/>
  <c r="R148" i="1"/>
  <c r="T148" i="1" s="1"/>
  <c r="U148" i="1" s="1"/>
  <c r="R149" i="1"/>
  <c r="R150" i="1"/>
  <c r="R151" i="1"/>
  <c r="T151" i="1" s="1"/>
  <c r="U151" i="1" s="1"/>
  <c r="R152" i="1"/>
  <c r="R153" i="1"/>
  <c r="T153" i="1" s="1"/>
  <c r="U153" i="1" s="1"/>
  <c r="R154" i="1"/>
  <c r="T154" i="1" s="1"/>
  <c r="R155" i="1"/>
  <c r="T155" i="1" s="1"/>
  <c r="R156" i="1"/>
  <c r="V156" i="1" s="1"/>
  <c r="R157" i="1"/>
  <c r="V157" i="1" s="1"/>
  <c r="R158" i="1"/>
  <c r="V158" i="1" s="1"/>
  <c r="R159" i="1"/>
  <c r="V159" i="1" s="1"/>
  <c r="R160" i="1"/>
  <c r="V160" i="1" s="1"/>
  <c r="R161" i="1"/>
  <c r="V161" i="1" s="1"/>
  <c r="R162" i="1"/>
  <c r="R163" i="1"/>
  <c r="V163" i="1" s="1"/>
  <c r="R164" i="1"/>
  <c r="R165" i="1"/>
  <c r="R166" i="1"/>
  <c r="R167" i="1"/>
  <c r="T167" i="1" s="1"/>
  <c r="U167" i="1" s="1"/>
  <c r="R168" i="1"/>
  <c r="T168" i="1" s="1"/>
  <c r="R169" i="1"/>
  <c r="T169" i="1" s="1"/>
  <c r="R170" i="1"/>
  <c r="V170" i="1" s="1"/>
  <c r="R171" i="1"/>
  <c r="V171" i="1" s="1"/>
  <c r="R172" i="1"/>
  <c r="V172" i="1" s="1"/>
  <c r="R173" i="1"/>
  <c r="V173" i="1" s="1"/>
  <c r="R174" i="1"/>
  <c r="V174" i="1" s="1"/>
  <c r="R175" i="1"/>
  <c r="V175" i="1" s="1"/>
  <c r="R176" i="1"/>
  <c r="R177" i="1"/>
  <c r="V177" i="1" s="1"/>
  <c r="R178" i="1"/>
  <c r="R179" i="1"/>
  <c r="R180" i="1"/>
  <c r="S180" i="1" s="1"/>
  <c r="R181" i="1"/>
  <c r="T181" i="1" s="1"/>
  <c r="U181" i="1" s="1"/>
  <c r="R182" i="1"/>
  <c r="T182" i="1" s="1"/>
  <c r="R183" i="1"/>
  <c r="T183" i="1" s="1"/>
  <c r="R184" i="1"/>
  <c r="V184" i="1" s="1"/>
  <c r="R185" i="1"/>
  <c r="V185" i="1" s="1"/>
  <c r="R186" i="1"/>
  <c r="V186" i="1" s="1"/>
  <c r="R187" i="1"/>
  <c r="V187" i="1" s="1"/>
  <c r="R188" i="1"/>
  <c r="V188" i="1" s="1"/>
  <c r="R189" i="1"/>
  <c r="V189" i="1" s="1"/>
  <c r="R190" i="1"/>
  <c r="R191" i="1"/>
  <c r="V191" i="1" s="1"/>
  <c r="R192" i="1"/>
  <c r="V192" i="1" s="1"/>
  <c r="R193" i="1"/>
  <c r="T193" i="1" s="1"/>
  <c r="U193" i="1" s="1"/>
  <c r="R194" i="1"/>
  <c r="S194" i="1" s="1"/>
  <c r="R195" i="1"/>
  <c r="T195" i="1" s="1"/>
  <c r="U195" i="1" s="1"/>
  <c r="R196" i="1"/>
  <c r="T196" i="1" s="1"/>
  <c r="R197" i="1"/>
  <c r="T197" i="1" s="1"/>
  <c r="R198" i="1"/>
  <c r="V198" i="1" s="1"/>
  <c r="R199" i="1"/>
  <c r="V199" i="1" s="1"/>
  <c r="R200" i="1"/>
  <c r="V200" i="1" s="1"/>
  <c r="R201" i="1"/>
  <c r="V201" i="1" s="1"/>
  <c r="R202" i="1"/>
  <c r="V202" i="1" s="1"/>
  <c r="R203" i="1"/>
  <c r="V203" i="1" s="1"/>
  <c r="R204" i="1"/>
  <c r="R205" i="1"/>
  <c r="R206" i="1"/>
  <c r="R207" i="1"/>
  <c r="T207" i="1" s="1"/>
  <c r="U207" i="1" s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R88" i="1"/>
  <c r="R89" i="1"/>
  <c r="R90" i="1"/>
  <c r="V90" i="1" s="1"/>
  <c r="R91" i="1"/>
  <c r="S91" i="1" s="1"/>
  <c r="R92" i="1"/>
  <c r="R93" i="1"/>
  <c r="R94" i="1"/>
  <c r="V94" i="1" s="1"/>
  <c r="R95" i="1"/>
  <c r="S95" i="1" s="1"/>
  <c r="R96" i="1"/>
  <c r="S96" i="1" s="1"/>
  <c r="R97" i="1"/>
  <c r="T97" i="1" s="1"/>
  <c r="R98" i="1"/>
  <c r="T98" i="1" s="1"/>
  <c r="R99" i="1"/>
  <c r="T99" i="1" s="1"/>
  <c r="R100" i="1"/>
  <c r="V100" i="1" s="1"/>
  <c r="R101" i="1"/>
  <c r="V101" i="1" s="1"/>
  <c r="R102" i="1"/>
  <c r="R103" i="1"/>
  <c r="R104" i="1"/>
  <c r="R105" i="1"/>
  <c r="S105" i="1" s="1"/>
  <c r="R106" i="1"/>
  <c r="R107" i="1"/>
  <c r="R108" i="1"/>
  <c r="V108" i="1" s="1"/>
  <c r="R109" i="1"/>
  <c r="S109" i="1" s="1"/>
  <c r="R110" i="1"/>
  <c r="S110" i="1" s="1"/>
  <c r="R111" i="1"/>
  <c r="T111" i="1" s="1"/>
  <c r="R112" i="1"/>
  <c r="T112" i="1" s="1"/>
  <c r="R113" i="1"/>
  <c r="T113" i="1" s="1"/>
  <c r="R114" i="1"/>
  <c r="V114" i="1" s="1"/>
  <c r="R115" i="1"/>
  <c r="V115" i="1" s="1"/>
  <c r="R116" i="1"/>
  <c r="R117" i="1"/>
  <c r="R118" i="1"/>
  <c r="R119" i="1"/>
  <c r="R120" i="1"/>
  <c r="R121" i="1"/>
  <c r="T121" i="1" s="1"/>
  <c r="U121" i="1" s="1"/>
  <c r="R122" i="1"/>
  <c r="V122" i="1" s="1"/>
  <c r="R123" i="1"/>
  <c r="S123" i="1" s="1"/>
  <c r="R124" i="1"/>
  <c r="S124" i="1" s="1"/>
  <c r="R125" i="1"/>
  <c r="T125" i="1" s="1"/>
  <c r="R126" i="1"/>
  <c r="T126" i="1" s="1"/>
  <c r="R127" i="1"/>
  <c r="T127" i="1" s="1"/>
  <c r="R128" i="1"/>
  <c r="V128" i="1" s="1"/>
  <c r="R129" i="1"/>
  <c r="V129" i="1" s="1"/>
  <c r="R130" i="1"/>
  <c r="R131" i="1"/>
  <c r="R132" i="1"/>
  <c r="V132" i="1" s="1"/>
  <c r="R133" i="1"/>
  <c r="S133" i="1" s="1"/>
  <c r="R134" i="1"/>
  <c r="R135" i="1"/>
  <c r="S135" i="1" s="1"/>
  <c r="R136" i="1"/>
  <c r="V136" i="1" s="1"/>
  <c r="R137" i="1"/>
  <c r="S137" i="1" s="1"/>
  <c r="R138" i="1"/>
  <c r="S138" i="1" s="1"/>
  <c r="R139" i="1"/>
  <c r="T139" i="1" s="1"/>
  <c r="R140" i="1"/>
  <c r="T140" i="1" s="1"/>
  <c r="R141" i="1"/>
  <c r="T141" i="1" s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R59" i="1"/>
  <c r="V59" i="1" s="1"/>
  <c r="R60" i="1"/>
  <c r="V60" i="1" s="1"/>
  <c r="R61" i="1"/>
  <c r="V61" i="1" s="1"/>
  <c r="R62" i="1"/>
  <c r="V62" i="1" s="1"/>
  <c r="R63" i="1"/>
  <c r="S63" i="1" s="1"/>
  <c r="R64" i="1"/>
  <c r="R65" i="1"/>
  <c r="R66" i="1"/>
  <c r="R67" i="1"/>
  <c r="R68" i="1"/>
  <c r="R69" i="1"/>
  <c r="T69" i="1" s="1"/>
  <c r="R70" i="1"/>
  <c r="T70" i="1" s="1"/>
  <c r="R71" i="1"/>
  <c r="T71" i="1" s="1"/>
  <c r="R72" i="1"/>
  <c r="V72" i="1" s="1"/>
  <c r="R73" i="1"/>
  <c r="V73" i="1" s="1"/>
  <c r="R74" i="1"/>
  <c r="V74" i="1" s="1"/>
  <c r="R75" i="1"/>
  <c r="V75" i="1" s="1"/>
  <c r="R76" i="1"/>
  <c r="V76" i="1" s="1"/>
  <c r="R77" i="1"/>
  <c r="S77" i="1" s="1"/>
  <c r="R78" i="1"/>
  <c r="R79" i="1"/>
  <c r="R80" i="1"/>
  <c r="R81" i="1"/>
  <c r="T81" i="1" s="1"/>
  <c r="U81" i="1" s="1"/>
  <c r="R82" i="1"/>
  <c r="V82" i="1" s="1"/>
  <c r="R83" i="1"/>
  <c r="T83" i="1" s="1"/>
  <c r="R84" i="1"/>
  <c r="T84" i="1" s="1"/>
  <c r="R85" i="1"/>
  <c r="T85" i="1" s="1"/>
  <c r="R86" i="1"/>
  <c r="V86" i="1" s="1"/>
  <c r="R87" i="1"/>
  <c r="V87" i="1" s="1"/>
  <c r="R3" i="1"/>
  <c r="V3" i="1" s="1"/>
  <c r="R4" i="1"/>
  <c r="V4" i="1" s="1"/>
  <c r="R5" i="1"/>
  <c r="V5" i="1" s="1"/>
  <c r="R6" i="1"/>
  <c r="S6" i="1" s="1"/>
  <c r="R7" i="1"/>
  <c r="S7" i="1" s="1"/>
  <c r="R8" i="1"/>
  <c r="R9" i="1"/>
  <c r="V9" i="1" s="1"/>
  <c r="R10" i="1"/>
  <c r="R11" i="1"/>
  <c r="R12" i="1"/>
  <c r="S12" i="1" s="1"/>
  <c r="R13" i="1"/>
  <c r="T13" i="1" s="1"/>
  <c r="R14" i="1"/>
  <c r="T14" i="1" s="1"/>
  <c r="R15" i="1"/>
  <c r="T15" i="1" s="1"/>
  <c r="R16" i="1"/>
  <c r="V16" i="1" s="1"/>
  <c r="R17" i="1"/>
  <c r="V17" i="1" s="1"/>
  <c r="R18" i="1"/>
  <c r="V18" i="1" s="1"/>
  <c r="R19" i="1"/>
  <c r="V19" i="1" s="1"/>
  <c r="R20" i="1"/>
  <c r="R21" i="1"/>
  <c r="R22" i="1"/>
  <c r="R23" i="1"/>
  <c r="R24" i="1"/>
  <c r="S24" i="1" s="1"/>
  <c r="R25" i="1"/>
  <c r="R26" i="1"/>
  <c r="S26" i="1" s="1"/>
  <c r="R27" i="1"/>
  <c r="T27" i="1" s="1"/>
  <c r="R28" i="1"/>
  <c r="T28" i="1" s="1"/>
  <c r="R29" i="1"/>
  <c r="T29" i="1" s="1"/>
  <c r="R30" i="1"/>
  <c r="V30" i="1" s="1"/>
  <c r="R31" i="1"/>
  <c r="V31" i="1" s="1"/>
  <c r="R32" i="1"/>
  <c r="V32" i="1" s="1"/>
  <c r="R33" i="1"/>
  <c r="V33" i="1" s="1"/>
  <c r="R34" i="1"/>
  <c r="S34" i="1" s="1"/>
  <c r="R35" i="1"/>
  <c r="S35" i="1" s="1"/>
  <c r="R36" i="1"/>
  <c r="R37" i="1"/>
  <c r="R38" i="1"/>
  <c r="S38" i="1" s="1"/>
  <c r="R39" i="1"/>
  <c r="S39" i="1" s="1"/>
  <c r="R40" i="1"/>
  <c r="S40" i="1" s="1"/>
  <c r="R41" i="1"/>
  <c r="T41" i="1" s="1"/>
  <c r="R42" i="1"/>
  <c r="T42" i="1" s="1"/>
  <c r="R43" i="1"/>
  <c r="T43" i="1" s="1"/>
  <c r="R44" i="1"/>
  <c r="V44" i="1" s="1"/>
  <c r="R45" i="1"/>
  <c r="V45" i="1" s="1"/>
  <c r="R46" i="1"/>
  <c r="V46" i="1" s="1"/>
  <c r="R47" i="1"/>
  <c r="V47" i="1" s="1"/>
  <c r="R48" i="1"/>
  <c r="S48" i="1" s="1"/>
  <c r="R49" i="1"/>
  <c r="S49" i="1" s="1"/>
  <c r="R50" i="1"/>
  <c r="V50" i="1" s="1"/>
  <c r="R51" i="1"/>
  <c r="R52" i="1"/>
  <c r="S52" i="1" s="1"/>
  <c r="R53" i="1"/>
  <c r="R54" i="1"/>
  <c r="S54" i="1" s="1"/>
  <c r="R55" i="1"/>
  <c r="T55" i="1" s="1"/>
  <c r="R56" i="1"/>
  <c r="T56" i="1" s="1"/>
  <c r="R57" i="1"/>
  <c r="T57" i="1" s="1"/>
  <c r="R58" i="1"/>
  <c r="V58" i="1" s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R2" i="1"/>
  <c r="T2" i="1" s="1"/>
  <c r="U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2" i="1"/>
  <c r="S11" i="1" l="1"/>
  <c r="T11" i="1"/>
  <c r="U11" i="1" s="1"/>
  <c r="V11" i="1"/>
  <c r="V93" i="1"/>
  <c r="S93" i="1"/>
  <c r="T93" i="1"/>
  <c r="U93" i="1" s="1"/>
  <c r="T267" i="1"/>
  <c r="U267" i="1" s="1"/>
  <c r="V267" i="1"/>
  <c r="T332" i="1"/>
  <c r="U332" i="1" s="1"/>
  <c r="S332" i="1"/>
  <c r="V332" i="1"/>
  <c r="V281" i="1"/>
  <c r="T39" i="1"/>
  <c r="U39" i="1" s="1"/>
  <c r="V350" i="1"/>
  <c r="V211" i="1"/>
  <c r="V208" i="1"/>
  <c r="T208" i="1"/>
  <c r="U208" i="1" s="1"/>
  <c r="V121" i="1"/>
  <c r="S121" i="1"/>
  <c r="S132" i="1"/>
  <c r="V39" i="1"/>
  <c r="S53" i="1"/>
  <c r="V53" i="1"/>
  <c r="S68" i="1"/>
  <c r="T68" i="1"/>
  <c r="U68" i="1" s="1"/>
  <c r="V68" i="1"/>
  <c r="V107" i="1"/>
  <c r="S107" i="1"/>
  <c r="T107" i="1"/>
  <c r="U107" i="1" s="1"/>
  <c r="T253" i="1"/>
  <c r="U253" i="1" s="1"/>
  <c r="V253" i="1"/>
  <c r="S152" i="1"/>
  <c r="V152" i="1"/>
  <c r="T152" i="1"/>
  <c r="U152" i="1" s="1"/>
  <c r="V51" i="1"/>
  <c r="S51" i="1"/>
  <c r="V37" i="1"/>
  <c r="T37" i="1"/>
  <c r="U37" i="1" s="1"/>
  <c r="V23" i="1"/>
  <c r="T23" i="1"/>
  <c r="U23" i="1" s="1"/>
  <c r="S348" i="1"/>
  <c r="T348" i="1"/>
  <c r="U348" i="1" s="1"/>
  <c r="S82" i="1"/>
  <c r="T82" i="1"/>
  <c r="U82" i="1" s="1"/>
  <c r="S166" i="1"/>
  <c r="V166" i="1"/>
  <c r="V36" i="1"/>
  <c r="T36" i="1"/>
  <c r="U36" i="1" s="1"/>
  <c r="V22" i="1"/>
  <c r="T22" i="1"/>
  <c r="U22" i="1" s="1"/>
  <c r="V8" i="1"/>
  <c r="T8" i="1"/>
  <c r="U8" i="1" s="1"/>
  <c r="V79" i="1"/>
  <c r="T79" i="1"/>
  <c r="U79" i="1" s="1"/>
  <c r="V65" i="1"/>
  <c r="T65" i="1"/>
  <c r="U65" i="1" s="1"/>
  <c r="V118" i="1"/>
  <c r="S118" i="1"/>
  <c r="V104" i="1"/>
  <c r="S104" i="1"/>
  <c r="V206" i="1"/>
  <c r="S206" i="1"/>
  <c r="V178" i="1"/>
  <c r="S178" i="1"/>
  <c r="V164" i="1"/>
  <c r="S164" i="1"/>
  <c r="V150" i="1"/>
  <c r="S150" i="1"/>
  <c r="S306" i="1"/>
  <c r="T306" i="1"/>
  <c r="U306" i="1" s="1"/>
  <c r="S292" i="1"/>
  <c r="T292" i="1"/>
  <c r="U292" i="1" s="1"/>
  <c r="S278" i="1"/>
  <c r="V278" i="1"/>
  <c r="S264" i="1"/>
  <c r="V264" i="1"/>
  <c r="S250" i="1"/>
  <c r="V250" i="1"/>
  <c r="T250" i="1"/>
  <c r="U250" i="1" s="1"/>
  <c r="S236" i="1"/>
  <c r="V236" i="1"/>
  <c r="T236" i="1"/>
  <c r="U236" i="1" s="1"/>
  <c r="S347" i="1"/>
  <c r="T347" i="1"/>
  <c r="U347" i="1" s="1"/>
  <c r="T278" i="1"/>
  <c r="U278" i="1" s="1"/>
  <c r="V295" i="1"/>
  <c r="S25" i="1"/>
  <c r="V25" i="1"/>
  <c r="T25" i="1"/>
  <c r="U25" i="1" s="1"/>
  <c r="V135" i="1"/>
  <c r="T135" i="1"/>
  <c r="U135" i="1" s="1"/>
  <c r="T239" i="1"/>
  <c r="U239" i="1" s="1"/>
  <c r="V239" i="1"/>
  <c r="T318" i="1"/>
  <c r="U318" i="1" s="1"/>
  <c r="V318" i="1"/>
  <c r="V205" i="1"/>
  <c r="T205" i="1"/>
  <c r="U205" i="1" s="1"/>
  <c r="V149" i="1"/>
  <c r="S149" i="1"/>
  <c r="T149" i="1"/>
  <c r="U149" i="1" s="1"/>
  <c r="H294" i="1"/>
  <c r="I294" i="1" s="1"/>
  <c r="S90" i="1"/>
  <c r="T53" i="1"/>
  <c r="U53" i="1" s="1"/>
  <c r="T225" i="1"/>
  <c r="U225" i="1" s="1"/>
  <c r="V225" i="1"/>
  <c r="V345" i="1"/>
  <c r="S345" i="1"/>
  <c r="S79" i="1"/>
  <c r="T50" i="1"/>
  <c r="U50" i="1" s="1"/>
  <c r="V292" i="1"/>
  <c r="T261" i="1"/>
  <c r="U261" i="1" s="1"/>
  <c r="S289" i="1"/>
  <c r="S233" i="1"/>
  <c r="S175" i="1"/>
  <c r="T260" i="1"/>
  <c r="U260" i="1" s="1"/>
  <c r="T95" i="1"/>
  <c r="U95" i="1" s="1"/>
  <c r="T26" i="1"/>
  <c r="U26" i="1" s="1"/>
  <c r="V182" i="1"/>
  <c r="V123" i="1"/>
  <c r="V14" i="1"/>
  <c r="T96" i="1"/>
  <c r="U96" i="1" s="1"/>
  <c r="V124" i="1"/>
  <c r="S351" i="1"/>
  <c r="S287" i="1"/>
  <c r="S231" i="1"/>
  <c r="S174" i="1"/>
  <c r="S108" i="1"/>
  <c r="V323" i="1"/>
  <c r="V169" i="1"/>
  <c r="V113" i="1"/>
  <c r="V57" i="1"/>
  <c r="V12" i="1"/>
  <c r="S286" i="1"/>
  <c r="S230" i="1"/>
  <c r="V112" i="1"/>
  <c r="V56" i="1"/>
  <c r="S275" i="1"/>
  <c r="S219" i="1"/>
  <c r="S161" i="1"/>
  <c r="T303" i="1"/>
  <c r="U303" i="1" s="1"/>
  <c r="T247" i="1"/>
  <c r="U247" i="1" s="1"/>
  <c r="V320" i="1"/>
  <c r="V110" i="1"/>
  <c r="V54" i="1"/>
  <c r="S343" i="1"/>
  <c r="S273" i="1"/>
  <c r="S217" i="1"/>
  <c r="S160" i="1"/>
  <c r="T302" i="1"/>
  <c r="U302" i="1" s="1"/>
  <c r="T246" i="1"/>
  <c r="U246" i="1" s="1"/>
  <c r="T138" i="1"/>
  <c r="U138" i="1" s="1"/>
  <c r="T12" i="1"/>
  <c r="U12" i="1" s="1"/>
  <c r="V319" i="1"/>
  <c r="V155" i="1"/>
  <c r="V109" i="1"/>
  <c r="S342" i="1"/>
  <c r="S272" i="1"/>
  <c r="S216" i="1"/>
  <c r="S94" i="1"/>
  <c r="T137" i="1"/>
  <c r="U137" i="1" s="1"/>
  <c r="V154" i="1"/>
  <c r="V99" i="1"/>
  <c r="V43" i="1"/>
  <c r="S261" i="1"/>
  <c r="T289" i="1"/>
  <c r="U289" i="1" s="1"/>
  <c r="T233" i="1"/>
  <c r="U233" i="1" s="1"/>
  <c r="V309" i="1"/>
  <c r="V98" i="1"/>
  <c r="V42" i="1"/>
  <c r="V10" i="1"/>
  <c r="T10" i="1"/>
  <c r="U10" i="1" s="1"/>
  <c r="V92" i="1"/>
  <c r="T92" i="1"/>
  <c r="U92" i="1" s="1"/>
  <c r="S92" i="1"/>
  <c r="T238" i="1"/>
  <c r="U238" i="1" s="1"/>
  <c r="S238" i="1"/>
  <c r="V80" i="1"/>
  <c r="T80" i="1"/>
  <c r="U80" i="1" s="1"/>
  <c r="V91" i="1"/>
  <c r="T91" i="1"/>
  <c r="U91" i="1" s="1"/>
  <c r="S207" i="1"/>
  <c r="V207" i="1"/>
  <c r="S179" i="1"/>
  <c r="V179" i="1"/>
  <c r="S165" i="1"/>
  <c r="V165" i="1"/>
  <c r="T307" i="1"/>
  <c r="U307" i="1" s="1"/>
  <c r="S307" i="1"/>
  <c r="V307" i="1"/>
  <c r="T279" i="1"/>
  <c r="U279" i="1" s="1"/>
  <c r="S279" i="1"/>
  <c r="V279" i="1"/>
  <c r="T251" i="1"/>
  <c r="U251" i="1" s="1"/>
  <c r="S251" i="1"/>
  <c r="V251" i="1"/>
  <c r="T223" i="1"/>
  <c r="U223" i="1" s="1"/>
  <c r="S223" i="1"/>
  <c r="V223" i="1"/>
  <c r="V330" i="1"/>
  <c r="S330" i="1"/>
  <c r="S331" i="1"/>
  <c r="S37" i="1"/>
  <c r="S67" i="1"/>
  <c r="V67" i="1"/>
  <c r="T252" i="1"/>
  <c r="U252" i="1" s="1"/>
  <c r="S252" i="1"/>
  <c r="T194" i="1"/>
  <c r="U194" i="1" s="1"/>
  <c r="V105" i="1"/>
  <c r="T105" i="1"/>
  <c r="U105" i="1" s="1"/>
  <c r="S193" i="1"/>
  <c r="V193" i="1"/>
  <c r="S151" i="1"/>
  <c r="V151" i="1"/>
  <c r="T293" i="1"/>
  <c r="U293" i="1" s="1"/>
  <c r="S293" i="1"/>
  <c r="V293" i="1"/>
  <c r="T265" i="1"/>
  <c r="U265" i="1" s="1"/>
  <c r="S265" i="1"/>
  <c r="V265" i="1"/>
  <c r="T237" i="1"/>
  <c r="U237" i="1" s="1"/>
  <c r="S237" i="1"/>
  <c r="V237" i="1"/>
  <c r="T209" i="1"/>
  <c r="U209" i="1" s="1"/>
  <c r="S209" i="1"/>
  <c r="V209" i="1"/>
  <c r="V316" i="1"/>
  <c r="S316" i="1"/>
  <c r="S80" i="1"/>
  <c r="T191" i="1"/>
  <c r="U191" i="1" s="1"/>
  <c r="T67" i="1"/>
  <c r="U67" i="1" s="1"/>
  <c r="T224" i="1"/>
  <c r="U224" i="1" s="1"/>
  <c r="S224" i="1"/>
  <c r="V7" i="1"/>
  <c r="T7" i="1"/>
  <c r="U7" i="1" s="1"/>
  <c r="V346" i="1"/>
  <c r="T346" i="1"/>
  <c r="U346" i="1" s="1"/>
  <c r="K125" i="1"/>
  <c r="H125" i="1"/>
  <c r="I125" i="1" s="1"/>
  <c r="S177" i="1"/>
  <c r="T180" i="1"/>
  <c r="U180" i="1" s="1"/>
  <c r="V120" i="1"/>
  <c r="T120" i="1"/>
  <c r="U120" i="1" s="1"/>
  <c r="S120" i="1"/>
  <c r="T266" i="1"/>
  <c r="U266" i="1" s="1"/>
  <c r="S266" i="1"/>
  <c r="V66" i="1"/>
  <c r="T66" i="1"/>
  <c r="U66" i="1" s="1"/>
  <c r="V21" i="1"/>
  <c r="T21" i="1"/>
  <c r="U21" i="1" s="1"/>
  <c r="V103" i="1"/>
  <c r="T103" i="1"/>
  <c r="U103" i="1" s="1"/>
  <c r="S103" i="1"/>
  <c r="S305" i="1"/>
  <c r="V305" i="1"/>
  <c r="V328" i="1"/>
  <c r="T328" i="1"/>
  <c r="U328" i="1" s="1"/>
  <c r="V34" i="1"/>
  <c r="T34" i="1"/>
  <c r="U34" i="1" s="1"/>
  <c r="T190" i="1"/>
  <c r="U190" i="1" s="1"/>
  <c r="V190" i="1"/>
  <c r="S190" i="1"/>
  <c r="H166" i="1"/>
  <c r="I166" i="1" s="1"/>
  <c r="T179" i="1"/>
  <c r="U179" i="1" s="1"/>
  <c r="T9" i="1"/>
  <c r="U9" i="1" s="1"/>
  <c r="V194" i="1"/>
  <c r="V134" i="1"/>
  <c r="T134" i="1"/>
  <c r="U134" i="1" s="1"/>
  <c r="S134" i="1"/>
  <c r="T280" i="1"/>
  <c r="U280" i="1" s="1"/>
  <c r="S280" i="1"/>
  <c r="V133" i="1"/>
  <c r="T133" i="1"/>
  <c r="U133" i="1" s="1"/>
  <c r="V89" i="1"/>
  <c r="T89" i="1"/>
  <c r="U89" i="1" s="1"/>
  <c r="S89" i="1"/>
  <c r="S263" i="1"/>
  <c r="V263" i="1"/>
  <c r="V48" i="1"/>
  <c r="T48" i="1"/>
  <c r="U48" i="1" s="1"/>
  <c r="V130" i="1"/>
  <c r="T130" i="1"/>
  <c r="U130" i="1" s="1"/>
  <c r="S130" i="1"/>
  <c r="V290" i="1"/>
  <c r="T290" i="1"/>
  <c r="U290" i="1" s="1"/>
  <c r="V327" i="1"/>
  <c r="T327" i="1"/>
  <c r="U327" i="1" s="1"/>
  <c r="S327" i="1"/>
  <c r="S317" i="1"/>
  <c r="S23" i="1"/>
  <c r="T331" i="1"/>
  <c r="U331" i="1" s="1"/>
  <c r="T177" i="1"/>
  <c r="U177" i="1" s="1"/>
  <c r="V252" i="1"/>
  <c r="V52" i="1"/>
  <c r="T52" i="1"/>
  <c r="U52" i="1" s="1"/>
  <c r="V119" i="1"/>
  <c r="T119" i="1"/>
  <c r="U119" i="1" s="1"/>
  <c r="T78" i="1"/>
  <c r="U78" i="1" s="1"/>
  <c r="V78" i="1"/>
  <c r="S78" i="1"/>
  <c r="S249" i="1"/>
  <c r="V249" i="1"/>
  <c r="V20" i="1"/>
  <c r="T20" i="1"/>
  <c r="U20" i="1" s="1"/>
  <c r="V88" i="1"/>
  <c r="T88" i="1"/>
  <c r="U88" i="1" s="1"/>
  <c r="S88" i="1"/>
  <c r="T176" i="1"/>
  <c r="U176" i="1" s="1"/>
  <c r="V176" i="1"/>
  <c r="S176" i="1"/>
  <c r="V276" i="1"/>
  <c r="T276" i="1"/>
  <c r="U276" i="1" s="1"/>
  <c r="V234" i="1"/>
  <c r="T234" i="1"/>
  <c r="U234" i="1" s="1"/>
  <c r="S119" i="1"/>
  <c r="S66" i="1"/>
  <c r="S21" i="1"/>
  <c r="T330" i="1"/>
  <c r="U330" i="1" s="1"/>
  <c r="T166" i="1"/>
  <c r="U166" i="1" s="1"/>
  <c r="T51" i="1"/>
  <c r="U51" i="1" s="1"/>
  <c r="V24" i="1"/>
  <c r="T24" i="1"/>
  <c r="U24" i="1" s="1"/>
  <c r="T106" i="1"/>
  <c r="U106" i="1" s="1"/>
  <c r="V106" i="1"/>
  <c r="S106" i="1"/>
  <c r="T308" i="1"/>
  <c r="U308" i="1" s="1"/>
  <c r="S308" i="1"/>
  <c r="T210" i="1"/>
  <c r="U210" i="1" s="1"/>
  <c r="S210" i="1"/>
  <c r="V49" i="1"/>
  <c r="T49" i="1"/>
  <c r="U49" i="1" s="1"/>
  <c r="V117" i="1"/>
  <c r="T117" i="1"/>
  <c r="U117" i="1" s="1"/>
  <c r="S117" i="1"/>
  <c r="S277" i="1"/>
  <c r="V277" i="1"/>
  <c r="V314" i="1"/>
  <c r="T314" i="1"/>
  <c r="U314" i="1" s="1"/>
  <c r="V77" i="1"/>
  <c r="T77" i="1"/>
  <c r="U77" i="1" s="1"/>
  <c r="V102" i="1"/>
  <c r="T102" i="1"/>
  <c r="U102" i="1" s="1"/>
  <c r="S102" i="1"/>
  <c r="V148" i="1"/>
  <c r="S148" i="1"/>
  <c r="V248" i="1"/>
  <c r="T248" i="1"/>
  <c r="U248" i="1" s="1"/>
  <c r="K138" i="1"/>
  <c r="H138" i="1"/>
  <c r="I138" i="1" s="1"/>
  <c r="S314" i="1"/>
  <c r="S163" i="1"/>
  <c r="S20" i="1"/>
  <c r="T165" i="1"/>
  <c r="U165" i="1" s="1"/>
  <c r="V308" i="1"/>
  <c r="V180" i="1"/>
  <c r="V38" i="1"/>
  <c r="T38" i="1"/>
  <c r="U38" i="1" s="1"/>
  <c r="V64" i="1"/>
  <c r="T64" i="1"/>
  <c r="U64" i="1" s="1"/>
  <c r="S64" i="1"/>
  <c r="S235" i="1"/>
  <c r="V235" i="1"/>
  <c r="V6" i="1"/>
  <c r="T6" i="1"/>
  <c r="U6" i="1" s="1"/>
  <c r="V116" i="1"/>
  <c r="T116" i="1"/>
  <c r="U116" i="1" s="1"/>
  <c r="S116" i="1"/>
  <c r="V162" i="1"/>
  <c r="S162" i="1"/>
  <c r="V262" i="1"/>
  <c r="T262" i="1"/>
  <c r="U262" i="1" s="1"/>
  <c r="V313" i="1"/>
  <c r="T313" i="1"/>
  <c r="U313" i="1" s="1"/>
  <c r="S313" i="1"/>
  <c r="K124" i="1"/>
  <c r="H124" i="1"/>
  <c r="I124" i="1" s="1"/>
  <c r="L58" i="1"/>
  <c r="S10" i="1"/>
  <c r="T163" i="1"/>
  <c r="U163" i="1" s="1"/>
  <c r="V348" i="1"/>
  <c r="V238" i="1"/>
  <c r="S81" i="1"/>
  <c r="V81" i="1"/>
  <c r="T294" i="1"/>
  <c r="U294" i="1" s="1"/>
  <c r="S294" i="1"/>
  <c r="T349" i="1"/>
  <c r="U349" i="1" s="1"/>
  <c r="S349" i="1"/>
  <c r="V349" i="1"/>
  <c r="V35" i="1"/>
  <c r="T35" i="1"/>
  <c r="U35" i="1" s="1"/>
  <c r="V131" i="1"/>
  <c r="T131" i="1"/>
  <c r="U131" i="1" s="1"/>
  <c r="S131" i="1"/>
  <c r="S291" i="1"/>
  <c r="V291" i="1"/>
  <c r="S221" i="1"/>
  <c r="V221" i="1"/>
  <c r="V63" i="1"/>
  <c r="T63" i="1"/>
  <c r="U63" i="1" s="1"/>
  <c r="V204" i="1"/>
  <c r="T204" i="1"/>
  <c r="U204" i="1" s="1"/>
  <c r="S204" i="1"/>
  <c r="V304" i="1"/>
  <c r="T304" i="1"/>
  <c r="U304" i="1" s="1"/>
  <c r="V220" i="1"/>
  <c r="T220" i="1"/>
  <c r="U220" i="1" s="1"/>
  <c r="K96" i="1"/>
  <c r="H96" i="1"/>
  <c r="I96" i="1" s="1"/>
  <c r="S205" i="1"/>
  <c r="S9" i="1"/>
  <c r="T317" i="1"/>
  <c r="U317" i="1" s="1"/>
  <c r="T162" i="1"/>
  <c r="U162" i="1" s="1"/>
  <c r="S344" i="1"/>
  <c r="S302" i="1"/>
  <c r="S288" i="1"/>
  <c r="S274" i="1"/>
  <c r="S260" i="1"/>
  <c r="S246" i="1"/>
  <c r="S232" i="1"/>
  <c r="S218" i="1"/>
  <c r="S50" i="1"/>
  <c r="S36" i="1"/>
  <c r="S22" i="1"/>
  <c r="S8" i="1"/>
  <c r="T206" i="1"/>
  <c r="U206" i="1" s="1"/>
  <c r="T192" i="1"/>
  <c r="U192" i="1" s="1"/>
  <c r="T178" i="1"/>
  <c r="U178" i="1" s="1"/>
  <c r="T164" i="1"/>
  <c r="U164" i="1" s="1"/>
  <c r="T150" i="1"/>
  <c r="U150" i="1" s="1"/>
  <c r="T136" i="1"/>
  <c r="U136" i="1" s="1"/>
  <c r="T122" i="1"/>
  <c r="U122" i="1" s="1"/>
  <c r="T108" i="1"/>
  <c r="U108" i="1" s="1"/>
  <c r="T94" i="1"/>
  <c r="U94" i="1" s="1"/>
  <c r="V335" i="1"/>
  <c r="V321" i="1"/>
  <c r="V195" i="1"/>
  <c r="V181" i="1"/>
  <c r="V167" i="1"/>
  <c r="V153" i="1"/>
  <c r="V139" i="1"/>
  <c r="V125" i="1"/>
  <c r="V111" i="1"/>
  <c r="V97" i="1"/>
  <c r="V83" i="1"/>
  <c r="V69" i="1"/>
  <c r="V55" i="1"/>
  <c r="V41" i="1"/>
  <c r="V27" i="1"/>
  <c r="V13" i="1"/>
  <c r="S2" i="1"/>
  <c r="S341" i="1"/>
  <c r="S299" i="1"/>
  <c r="S285" i="1"/>
  <c r="S271" i="1"/>
  <c r="S257" i="1"/>
  <c r="S243" i="1"/>
  <c r="S229" i="1"/>
  <c r="S215" i="1"/>
  <c r="S201" i="1"/>
  <c r="S187" i="1"/>
  <c r="S173" i="1"/>
  <c r="S159" i="1"/>
  <c r="S145" i="1"/>
  <c r="S75" i="1"/>
  <c r="S61" i="1"/>
  <c r="S47" i="1"/>
  <c r="S33" i="1"/>
  <c r="S19" i="1"/>
  <c r="S5" i="1"/>
  <c r="T329" i="1"/>
  <c r="U329" i="1" s="1"/>
  <c r="T315" i="1"/>
  <c r="U315" i="1" s="1"/>
  <c r="T301" i="1"/>
  <c r="U301" i="1" s="1"/>
  <c r="T287" i="1"/>
  <c r="U287" i="1" s="1"/>
  <c r="T273" i="1"/>
  <c r="U273" i="1" s="1"/>
  <c r="T259" i="1"/>
  <c r="U259" i="1" s="1"/>
  <c r="T245" i="1"/>
  <c r="U245" i="1" s="1"/>
  <c r="T231" i="1"/>
  <c r="U231" i="1" s="1"/>
  <c r="T217" i="1"/>
  <c r="U217" i="1" s="1"/>
  <c r="T203" i="1"/>
  <c r="U203" i="1" s="1"/>
  <c r="T189" i="1"/>
  <c r="U189" i="1" s="1"/>
  <c r="T175" i="1"/>
  <c r="U175" i="1" s="1"/>
  <c r="T161" i="1"/>
  <c r="U161" i="1" s="1"/>
  <c r="T147" i="1"/>
  <c r="U147" i="1" s="1"/>
  <c r="S354" i="1"/>
  <c r="S340" i="1"/>
  <c r="S326" i="1"/>
  <c r="S312" i="1"/>
  <c r="S298" i="1"/>
  <c r="S284" i="1"/>
  <c r="S270" i="1"/>
  <c r="S256" i="1"/>
  <c r="S242" i="1"/>
  <c r="S228" i="1"/>
  <c r="S214" i="1"/>
  <c r="S200" i="1"/>
  <c r="S186" i="1"/>
  <c r="S172" i="1"/>
  <c r="S158" i="1"/>
  <c r="S144" i="1"/>
  <c r="S74" i="1"/>
  <c r="S60" i="1"/>
  <c r="S46" i="1"/>
  <c r="S32" i="1"/>
  <c r="S18" i="1"/>
  <c r="S4" i="1"/>
  <c r="T342" i="1"/>
  <c r="U342" i="1" s="1"/>
  <c r="T300" i="1"/>
  <c r="U300" i="1" s="1"/>
  <c r="T286" i="1"/>
  <c r="U286" i="1" s="1"/>
  <c r="T272" i="1"/>
  <c r="U272" i="1" s="1"/>
  <c r="T258" i="1"/>
  <c r="U258" i="1" s="1"/>
  <c r="T244" i="1"/>
  <c r="U244" i="1" s="1"/>
  <c r="T230" i="1"/>
  <c r="U230" i="1" s="1"/>
  <c r="T216" i="1"/>
  <c r="U216" i="1" s="1"/>
  <c r="T202" i="1"/>
  <c r="U202" i="1" s="1"/>
  <c r="T188" i="1"/>
  <c r="U188" i="1" s="1"/>
  <c r="T174" i="1"/>
  <c r="U174" i="1" s="1"/>
  <c r="T160" i="1"/>
  <c r="U160" i="1" s="1"/>
  <c r="T146" i="1"/>
  <c r="U146" i="1" s="1"/>
  <c r="T132" i="1"/>
  <c r="U132" i="1" s="1"/>
  <c r="T118" i="1"/>
  <c r="U118" i="1" s="1"/>
  <c r="T104" i="1"/>
  <c r="U104" i="1" s="1"/>
  <c r="T90" i="1"/>
  <c r="U90" i="1" s="1"/>
  <c r="T76" i="1"/>
  <c r="U76" i="1" s="1"/>
  <c r="T62" i="1"/>
  <c r="U62" i="1" s="1"/>
  <c r="S353" i="1"/>
  <c r="S339" i="1"/>
  <c r="S325" i="1"/>
  <c r="S311" i="1"/>
  <c r="S297" i="1"/>
  <c r="S283" i="1"/>
  <c r="S269" i="1"/>
  <c r="S255" i="1"/>
  <c r="S241" i="1"/>
  <c r="S227" i="1"/>
  <c r="S213" i="1"/>
  <c r="S199" i="1"/>
  <c r="S185" i="1"/>
  <c r="S171" i="1"/>
  <c r="S157" i="1"/>
  <c r="S143" i="1"/>
  <c r="S129" i="1"/>
  <c r="S115" i="1"/>
  <c r="S101" i="1"/>
  <c r="S87" i="1"/>
  <c r="S73" i="1"/>
  <c r="S59" i="1"/>
  <c r="S45" i="1"/>
  <c r="S31" i="1"/>
  <c r="S17" i="1"/>
  <c r="S3" i="1"/>
  <c r="T341" i="1"/>
  <c r="U341" i="1" s="1"/>
  <c r="T299" i="1"/>
  <c r="U299" i="1" s="1"/>
  <c r="T285" i="1"/>
  <c r="U285" i="1" s="1"/>
  <c r="T271" i="1"/>
  <c r="U271" i="1" s="1"/>
  <c r="T257" i="1"/>
  <c r="U257" i="1" s="1"/>
  <c r="T243" i="1"/>
  <c r="U243" i="1" s="1"/>
  <c r="T229" i="1"/>
  <c r="U229" i="1" s="1"/>
  <c r="T215" i="1"/>
  <c r="U215" i="1" s="1"/>
  <c r="T201" i="1"/>
  <c r="U201" i="1" s="1"/>
  <c r="T187" i="1"/>
  <c r="U187" i="1" s="1"/>
  <c r="T173" i="1"/>
  <c r="U173" i="1" s="1"/>
  <c r="T159" i="1"/>
  <c r="U159" i="1" s="1"/>
  <c r="T145" i="1"/>
  <c r="U145" i="1" s="1"/>
  <c r="T75" i="1"/>
  <c r="U75" i="1" s="1"/>
  <c r="T61" i="1"/>
  <c r="U61" i="1" s="1"/>
  <c r="T47" i="1"/>
  <c r="U47" i="1" s="1"/>
  <c r="T33" i="1"/>
  <c r="U33" i="1" s="1"/>
  <c r="T19" i="1"/>
  <c r="U19" i="1" s="1"/>
  <c r="T5" i="1"/>
  <c r="U5" i="1" s="1"/>
  <c r="H123" i="1"/>
  <c r="I123" i="1" s="1"/>
  <c r="S352" i="1"/>
  <c r="S338" i="1"/>
  <c r="S324" i="1"/>
  <c r="S310" i="1"/>
  <c r="S296" i="1"/>
  <c r="S282" i="1"/>
  <c r="S268" i="1"/>
  <c r="S254" i="1"/>
  <c r="S240" i="1"/>
  <c r="S226" i="1"/>
  <c r="S212" i="1"/>
  <c r="S198" i="1"/>
  <c r="S184" i="1"/>
  <c r="S170" i="1"/>
  <c r="S156" i="1"/>
  <c r="S142" i="1"/>
  <c r="S128" i="1"/>
  <c r="S114" i="1"/>
  <c r="S100" i="1"/>
  <c r="S86" i="1"/>
  <c r="S72" i="1"/>
  <c r="S58" i="1"/>
  <c r="S44" i="1"/>
  <c r="S30" i="1"/>
  <c r="S16" i="1"/>
  <c r="T354" i="1"/>
  <c r="U354" i="1" s="1"/>
  <c r="T340" i="1"/>
  <c r="U340" i="1" s="1"/>
  <c r="T326" i="1"/>
  <c r="U326" i="1" s="1"/>
  <c r="T312" i="1"/>
  <c r="U312" i="1" s="1"/>
  <c r="T298" i="1"/>
  <c r="U298" i="1" s="1"/>
  <c r="T284" i="1"/>
  <c r="U284" i="1" s="1"/>
  <c r="T270" i="1"/>
  <c r="U270" i="1" s="1"/>
  <c r="T256" i="1"/>
  <c r="U256" i="1" s="1"/>
  <c r="T242" i="1"/>
  <c r="U242" i="1" s="1"/>
  <c r="T228" i="1"/>
  <c r="U228" i="1" s="1"/>
  <c r="T214" i="1"/>
  <c r="U214" i="1" s="1"/>
  <c r="T200" i="1"/>
  <c r="U200" i="1" s="1"/>
  <c r="T186" i="1"/>
  <c r="U186" i="1" s="1"/>
  <c r="T172" i="1"/>
  <c r="U172" i="1" s="1"/>
  <c r="T158" i="1"/>
  <c r="U158" i="1" s="1"/>
  <c r="T144" i="1"/>
  <c r="U144" i="1" s="1"/>
  <c r="T74" i="1"/>
  <c r="U74" i="1" s="1"/>
  <c r="T60" i="1"/>
  <c r="U60" i="1" s="1"/>
  <c r="T46" i="1"/>
  <c r="U46" i="1" s="1"/>
  <c r="T32" i="1"/>
  <c r="U32" i="1" s="1"/>
  <c r="T18" i="1"/>
  <c r="U18" i="1" s="1"/>
  <c r="T4" i="1"/>
  <c r="U4" i="1" s="1"/>
  <c r="S337" i="1"/>
  <c r="S323" i="1"/>
  <c r="S309" i="1"/>
  <c r="S295" i="1"/>
  <c r="S281" i="1"/>
  <c r="S267" i="1"/>
  <c r="S253" i="1"/>
  <c r="S239" i="1"/>
  <c r="S225" i="1"/>
  <c r="S211" i="1"/>
  <c r="S197" i="1"/>
  <c r="S183" i="1"/>
  <c r="S169" i="1"/>
  <c r="S155" i="1"/>
  <c r="S141" i="1"/>
  <c r="S127" i="1"/>
  <c r="S113" i="1"/>
  <c r="S99" i="1"/>
  <c r="S85" i="1"/>
  <c r="S71" i="1"/>
  <c r="S57" i="1"/>
  <c r="S43" i="1"/>
  <c r="S29" i="1"/>
  <c r="S15" i="1"/>
  <c r="T353" i="1"/>
  <c r="U353" i="1" s="1"/>
  <c r="T339" i="1"/>
  <c r="U339" i="1" s="1"/>
  <c r="T325" i="1"/>
  <c r="U325" i="1" s="1"/>
  <c r="T311" i="1"/>
  <c r="U311" i="1" s="1"/>
  <c r="T297" i="1"/>
  <c r="U297" i="1" s="1"/>
  <c r="T283" i="1"/>
  <c r="U283" i="1" s="1"/>
  <c r="T269" i="1"/>
  <c r="U269" i="1" s="1"/>
  <c r="T255" i="1"/>
  <c r="U255" i="1" s="1"/>
  <c r="T241" i="1"/>
  <c r="U241" i="1" s="1"/>
  <c r="T227" i="1"/>
  <c r="U227" i="1" s="1"/>
  <c r="T213" i="1"/>
  <c r="U213" i="1" s="1"/>
  <c r="T199" i="1"/>
  <c r="U199" i="1" s="1"/>
  <c r="T185" i="1"/>
  <c r="U185" i="1" s="1"/>
  <c r="T171" i="1"/>
  <c r="U171" i="1" s="1"/>
  <c r="T157" i="1"/>
  <c r="U157" i="1" s="1"/>
  <c r="T143" i="1"/>
  <c r="U143" i="1" s="1"/>
  <c r="T129" i="1"/>
  <c r="U129" i="1" s="1"/>
  <c r="T115" i="1"/>
  <c r="U115" i="1" s="1"/>
  <c r="T101" i="1"/>
  <c r="U101" i="1" s="1"/>
  <c r="T87" i="1"/>
  <c r="U87" i="1" s="1"/>
  <c r="T73" i="1"/>
  <c r="U73" i="1" s="1"/>
  <c r="T59" i="1"/>
  <c r="U59" i="1" s="1"/>
  <c r="T45" i="1"/>
  <c r="U45" i="1" s="1"/>
  <c r="T31" i="1"/>
  <c r="U31" i="1" s="1"/>
  <c r="T17" i="1"/>
  <c r="U17" i="1" s="1"/>
  <c r="T3" i="1"/>
  <c r="U3" i="1" s="1"/>
  <c r="S350" i="1"/>
  <c r="S336" i="1"/>
  <c r="S322" i="1"/>
  <c r="S196" i="1"/>
  <c r="S182" i="1"/>
  <c r="S168" i="1"/>
  <c r="S154" i="1"/>
  <c r="S140" i="1"/>
  <c r="S126" i="1"/>
  <c r="S112" i="1"/>
  <c r="S98" i="1"/>
  <c r="S84" i="1"/>
  <c r="S70" i="1"/>
  <c r="S56" i="1"/>
  <c r="S42" i="1"/>
  <c r="S28" i="1"/>
  <c r="S14" i="1"/>
  <c r="T352" i="1"/>
  <c r="U352" i="1" s="1"/>
  <c r="T338" i="1"/>
  <c r="U338" i="1" s="1"/>
  <c r="T324" i="1"/>
  <c r="U324" i="1" s="1"/>
  <c r="T310" i="1"/>
  <c r="U310" i="1" s="1"/>
  <c r="T296" i="1"/>
  <c r="U296" i="1" s="1"/>
  <c r="T282" i="1"/>
  <c r="U282" i="1" s="1"/>
  <c r="T268" i="1"/>
  <c r="U268" i="1" s="1"/>
  <c r="T254" i="1"/>
  <c r="U254" i="1" s="1"/>
  <c r="T240" i="1"/>
  <c r="U240" i="1" s="1"/>
  <c r="T226" i="1"/>
  <c r="U226" i="1" s="1"/>
  <c r="T212" i="1"/>
  <c r="U212" i="1" s="1"/>
  <c r="T198" i="1"/>
  <c r="U198" i="1" s="1"/>
  <c r="T184" i="1"/>
  <c r="U184" i="1" s="1"/>
  <c r="T170" i="1"/>
  <c r="U170" i="1" s="1"/>
  <c r="T156" i="1"/>
  <c r="U156" i="1" s="1"/>
  <c r="T142" i="1"/>
  <c r="U142" i="1" s="1"/>
  <c r="T128" i="1"/>
  <c r="U128" i="1" s="1"/>
  <c r="T114" i="1"/>
  <c r="U114" i="1" s="1"/>
  <c r="T100" i="1"/>
  <c r="U100" i="1" s="1"/>
  <c r="T86" i="1"/>
  <c r="U86" i="1" s="1"/>
  <c r="T72" i="1"/>
  <c r="U72" i="1" s="1"/>
  <c r="T58" i="1"/>
  <c r="U58" i="1" s="1"/>
  <c r="T44" i="1"/>
  <c r="U44" i="1" s="1"/>
  <c r="T30" i="1"/>
  <c r="U30" i="1" s="1"/>
  <c r="T16" i="1"/>
  <c r="U16" i="1" s="1"/>
  <c r="V2" i="1"/>
  <c r="S335" i="1"/>
  <c r="S321" i="1"/>
  <c r="S195" i="1"/>
  <c r="S181" i="1"/>
  <c r="S167" i="1"/>
  <c r="S153" i="1"/>
  <c r="S139" i="1"/>
  <c r="S125" i="1"/>
  <c r="S111" i="1"/>
  <c r="S97" i="1"/>
  <c r="S83" i="1"/>
  <c r="S69" i="1"/>
  <c r="S55" i="1"/>
  <c r="S41" i="1"/>
  <c r="S27" i="1"/>
  <c r="S13" i="1"/>
  <c r="J305" i="1"/>
  <c r="J224" i="1"/>
  <c r="H67" i="1"/>
  <c r="I67" i="1" s="1"/>
  <c r="J223" i="1"/>
  <c r="J221" i="1"/>
  <c r="M217" i="1"/>
  <c r="J33" i="1"/>
  <c r="H293" i="1"/>
  <c r="I293" i="1" s="1"/>
  <c r="J124" i="1"/>
  <c r="K146" i="1"/>
  <c r="J34" i="1"/>
  <c r="J123" i="1"/>
  <c r="H263" i="1"/>
  <c r="I263" i="1" s="1"/>
  <c r="K46" i="1"/>
  <c r="H207" i="1"/>
  <c r="I207" i="1" s="1"/>
  <c r="J109" i="1"/>
  <c r="L315" i="1"/>
  <c r="N350" i="1"/>
  <c r="L206" i="1"/>
  <c r="J285" i="1"/>
  <c r="H114" i="1"/>
  <c r="I114" i="1" s="1"/>
  <c r="J195" i="1"/>
  <c r="J97" i="1"/>
  <c r="J28" i="1"/>
  <c r="H109" i="1"/>
  <c r="I109" i="1" s="1"/>
  <c r="H29" i="1"/>
  <c r="I29" i="1" s="1"/>
  <c r="J286" i="1"/>
  <c r="J96" i="1"/>
  <c r="J27" i="1"/>
  <c r="K276" i="1"/>
  <c r="K100" i="1"/>
  <c r="M189" i="1"/>
  <c r="N265" i="1"/>
  <c r="H280" i="1"/>
  <c r="I280" i="1" s="1"/>
  <c r="H253" i="1"/>
  <c r="I253" i="1" s="1"/>
  <c r="H167" i="1"/>
  <c r="I167" i="1" s="1"/>
  <c r="H100" i="1"/>
  <c r="I100" i="1" s="1"/>
  <c r="H28" i="1"/>
  <c r="I28" i="1" s="1"/>
  <c r="K252" i="1"/>
  <c r="K99" i="1"/>
  <c r="M2" i="1"/>
  <c r="H252" i="1"/>
  <c r="I252" i="1" s="1"/>
  <c r="H27" i="1"/>
  <c r="I27" i="1" s="1"/>
  <c r="J280" i="1"/>
  <c r="J178" i="1"/>
  <c r="K84" i="1"/>
  <c r="M350" i="1"/>
  <c r="M215" i="1"/>
  <c r="H335" i="1"/>
  <c r="I335" i="1" s="1"/>
  <c r="H165" i="1"/>
  <c r="I165" i="1" s="1"/>
  <c r="H97" i="1"/>
  <c r="I97" i="1" s="1"/>
  <c r="J168" i="1"/>
  <c r="L188" i="1"/>
  <c r="M294" i="1"/>
  <c r="K310" i="1"/>
  <c r="H197" i="1"/>
  <c r="I197" i="1" s="1"/>
  <c r="H334" i="1"/>
  <c r="I334" i="1" s="1"/>
  <c r="J167" i="1"/>
  <c r="K352" i="1"/>
  <c r="K238" i="1"/>
  <c r="H58" i="1"/>
  <c r="I58" i="1" s="1"/>
  <c r="H322" i="1"/>
  <c r="I322" i="1" s="1"/>
  <c r="H236" i="1"/>
  <c r="I236" i="1" s="1"/>
  <c r="H16" i="1"/>
  <c r="I16" i="1" s="1"/>
  <c r="J165" i="1"/>
  <c r="K350" i="1"/>
  <c r="K201" i="1"/>
  <c r="K34" i="1"/>
  <c r="H305" i="1"/>
  <c r="I305" i="1" s="1"/>
  <c r="H235" i="1"/>
  <c r="I235" i="1" s="1"/>
  <c r="H70" i="1"/>
  <c r="I70" i="1" s="1"/>
  <c r="J336" i="1"/>
  <c r="J139" i="1"/>
  <c r="K336" i="1"/>
  <c r="K33" i="1"/>
  <c r="M216" i="1"/>
  <c r="H196" i="1"/>
  <c r="I196" i="1" s="1"/>
  <c r="H221" i="1"/>
  <c r="I221" i="1" s="1"/>
  <c r="J335" i="1"/>
  <c r="J236" i="1"/>
  <c r="J138" i="1"/>
  <c r="K323" i="1"/>
  <c r="K197" i="1"/>
  <c r="L314" i="1"/>
  <c r="H139" i="1"/>
  <c r="I139" i="1" s="1"/>
  <c r="J333" i="1"/>
  <c r="J235" i="1"/>
  <c r="J137" i="1"/>
  <c r="K322" i="1"/>
  <c r="M272" i="1"/>
  <c r="N352" i="1"/>
  <c r="N100" i="1"/>
  <c r="N206" i="1"/>
  <c r="H346" i="1"/>
  <c r="I346" i="1" s="1"/>
  <c r="K346" i="1"/>
  <c r="J346" i="1"/>
  <c r="H332" i="1"/>
  <c r="I332" i="1" s="1"/>
  <c r="J332" i="1"/>
  <c r="K332" i="1"/>
  <c r="H318" i="1"/>
  <c r="I318" i="1" s="1"/>
  <c r="K318" i="1"/>
  <c r="J318" i="1"/>
  <c r="H304" i="1"/>
  <c r="I304" i="1" s="1"/>
  <c r="K304" i="1"/>
  <c r="J304" i="1"/>
  <c r="H345" i="1"/>
  <c r="I345" i="1" s="1"/>
  <c r="K345" i="1"/>
  <c r="J345" i="1"/>
  <c r="H331" i="1"/>
  <c r="I331" i="1" s="1"/>
  <c r="K331" i="1"/>
  <c r="J331" i="1"/>
  <c r="H317" i="1"/>
  <c r="I317" i="1" s="1"/>
  <c r="K317" i="1"/>
  <c r="H303" i="1"/>
  <c r="I303" i="1" s="1"/>
  <c r="K303" i="1"/>
  <c r="J303" i="1"/>
  <c r="H289" i="1"/>
  <c r="I289" i="1" s="1"/>
  <c r="J289" i="1"/>
  <c r="K289" i="1"/>
  <c r="H275" i="1"/>
  <c r="I275" i="1" s="1"/>
  <c r="J275" i="1"/>
  <c r="K275" i="1"/>
  <c r="H261" i="1"/>
  <c r="I261" i="1" s="1"/>
  <c r="K261" i="1"/>
  <c r="H247" i="1"/>
  <c r="I247" i="1" s="1"/>
  <c r="K247" i="1"/>
  <c r="J247" i="1"/>
  <c r="H233" i="1"/>
  <c r="I233" i="1" s="1"/>
  <c r="J233" i="1"/>
  <c r="K233" i="1"/>
  <c r="H219" i="1"/>
  <c r="I219" i="1" s="1"/>
  <c r="K219" i="1"/>
  <c r="J219" i="1"/>
  <c r="H205" i="1"/>
  <c r="I205" i="1" s="1"/>
  <c r="K205" i="1"/>
  <c r="H191" i="1"/>
  <c r="I191" i="1" s="1"/>
  <c r="J191" i="1"/>
  <c r="K191" i="1"/>
  <c r="H177" i="1"/>
  <c r="I177" i="1" s="1"/>
  <c r="K177" i="1"/>
  <c r="H163" i="1"/>
  <c r="I163" i="1" s="1"/>
  <c r="K163" i="1"/>
  <c r="J163" i="1"/>
  <c r="H149" i="1"/>
  <c r="I149" i="1" s="1"/>
  <c r="K149" i="1"/>
  <c r="H135" i="1"/>
  <c r="I135" i="1" s="1"/>
  <c r="J135" i="1"/>
  <c r="K135" i="1"/>
  <c r="H121" i="1"/>
  <c r="I121" i="1" s="1"/>
  <c r="K121" i="1"/>
  <c r="H107" i="1"/>
  <c r="I107" i="1" s="1"/>
  <c r="K107" i="1"/>
  <c r="J107" i="1"/>
  <c r="H93" i="1"/>
  <c r="I93" i="1" s="1"/>
  <c r="K93" i="1"/>
  <c r="J93" i="1"/>
  <c r="H79" i="1"/>
  <c r="I79" i="1" s="1"/>
  <c r="K79" i="1"/>
  <c r="J79" i="1"/>
  <c r="H65" i="1"/>
  <c r="I65" i="1" s="1"/>
  <c r="K65" i="1"/>
  <c r="J65" i="1"/>
  <c r="H51" i="1"/>
  <c r="I51" i="1" s="1"/>
  <c r="K51" i="1"/>
  <c r="J51" i="1"/>
  <c r="H37" i="1"/>
  <c r="I37" i="1" s="1"/>
  <c r="K37" i="1"/>
  <c r="J37" i="1"/>
  <c r="H23" i="1"/>
  <c r="I23" i="1" s="1"/>
  <c r="K23" i="1"/>
  <c r="J23" i="1"/>
  <c r="H9" i="1"/>
  <c r="I9" i="1" s="1"/>
  <c r="K9" i="1"/>
  <c r="J9" i="1"/>
  <c r="L348" i="1"/>
  <c r="N348" i="1"/>
  <c r="L334" i="1"/>
  <c r="N334" i="1"/>
  <c r="M334" i="1"/>
  <c r="L320" i="1"/>
  <c r="N320" i="1"/>
  <c r="M320" i="1"/>
  <c r="L306" i="1"/>
  <c r="M306" i="1"/>
  <c r="N306" i="1"/>
  <c r="L292" i="1"/>
  <c r="M292" i="1"/>
  <c r="N292" i="1"/>
  <c r="L278" i="1"/>
  <c r="N278" i="1"/>
  <c r="M278" i="1"/>
  <c r="L264" i="1"/>
  <c r="M264" i="1"/>
  <c r="L250" i="1"/>
  <c r="N250" i="1"/>
  <c r="M250" i="1"/>
  <c r="L236" i="1"/>
  <c r="M236" i="1"/>
  <c r="N236" i="1"/>
  <c r="L222" i="1"/>
  <c r="N222" i="1"/>
  <c r="M222" i="1"/>
  <c r="L208" i="1"/>
  <c r="M208" i="1"/>
  <c r="N208" i="1"/>
  <c r="L194" i="1"/>
  <c r="M194" i="1"/>
  <c r="N194" i="1"/>
  <c r="L180" i="1"/>
  <c r="N180" i="1"/>
  <c r="M180" i="1"/>
  <c r="L166" i="1"/>
  <c r="M166" i="1"/>
  <c r="N166" i="1"/>
  <c r="L152" i="1"/>
  <c r="N152" i="1"/>
  <c r="M152" i="1"/>
  <c r="L138" i="1"/>
  <c r="N138" i="1"/>
  <c r="L124" i="1"/>
  <c r="M124" i="1"/>
  <c r="N124" i="1"/>
  <c r="L110" i="1"/>
  <c r="M110" i="1"/>
  <c r="N110" i="1"/>
  <c r="L96" i="1"/>
  <c r="N96" i="1"/>
  <c r="M96" i="1"/>
  <c r="L82" i="1"/>
  <c r="M82" i="1"/>
  <c r="N82" i="1"/>
  <c r="L68" i="1"/>
  <c r="N68" i="1"/>
  <c r="L54" i="1"/>
  <c r="N54" i="1"/>
  <c r="M54" i="1"/>
  <c r="L40" i="1"/>
  <c r="M40" i="1"/>
  <c r="N40" i="1"/>
  <c r="L26" i="1"/>
  <c r="M26" i="1"/>
  <c r="N26" i="1"/>
  <c r="L12" i="1"/>
  <c r="N12" i="1"/>
  <c r="M12" i="1"/>
  <c r="H344" i="1"/>
  <c r="I344" i="1" s="1"/>
  <c r="K344" i="1"/>
  <c r="J344" i="1"/>
  <c r="H246" i="1"/>
  <c r="I246" i="1" s="1"/>
  <c r="K246" i="1"/>
  <c r="J246" i="1"/>
  <c r="H190" i="1"/>
  <c r="I190" i="1" s="1"/>
  <c r="K190" i="1"/>
  <c r="J190" i="1"/>
  <c r="H134" i="1"/>
  <c r="I134" i="1" s="1"/>
  <c r="J134" i="1"/>
  <c r="K134" i="1"/>
  <c r="H106" i="1"/>
  <c r="I106" i="1" s="1"/>
  <c r="J106" i="1"/>
  <c r="K106" i="1"/>
  <c r="H50" i="1"/>
  <c r="I50" i="1" s="1"/>
  <c r="J50" i="1"/>
  <c r="K50" i="1"/>
  <c r="H22" i="1"/>
  <c r="I22" i="1" s="1"/>
  <c r="J22" i="1"/>
  <c r="K22" i="1"/>
  <c r="H8" i="1"/>
  <c r="I8" i="1" s="1"/>
  <c r="K8" i="1"/>
  <c r="J8" i="1"/>
  <c r="N347" i="1"/>
  <c r="L347" i="1"/>
  <c r="N333" i="1"/>
  <c r="L333" i="1"/>
  <c r="M333" i="1"/>
  <c r="N319" i="1"/>
  <c r="M319" i="1"/>
  <c r="L319" i="1"/>
  <c r="M305" i="1"/>
  <c r="N305" i="1"/>
  <c r="L305" i="1"/>
  <c r="L291" i="1"/>
  <c r="M291" i="1"/>
  <c r="N291" i="1"/>
  <c r="N263" i="1"/>
  <c r="M263" i="1"/>
  <c r="M249" i="1"/>
  <c r="N249" i="1"/>
  <c r="L249" i="1"/>
  <c r="M179" i="1"/>
  <c r="L179" i="1"/>
  <c r="N179" i="1"/>
  <c r="N165" i="1"/>
  <c r="M165" i="1"/>
  <c r="L165" i="1"/>
  <c r="N151" i="1"/>
  <c r="M151" i="1"/>
  <c r="L151" i="1"/>
  <c r="N137" i="1"/>
  <c r="L137" i="1"/>
  <c r="N123" i="1"/>
  <c r="M123" i="1"/>
  <c r="L123" i="1"/>
  <c r="N109" i="1"/>
  <c r="M109" i="1"/>
  <c r="L109" i="1"/>
  <c r="N95" i="1"/>
  <c r="M95" i="1"/>
  <c r="L95" i="1"/>
  <c r="N81" i="1"/>
  <c r="M81" i="1"/>
  <c r="L81" i="1"/>
  <c r="N67" i="1"/>
  <c r="L67" i="1"/>
  <c r="M67" i="1"/>
  <c r="N53" i="1"/>
  <c r="M53" i="1"/>
  <c r="N39" i="1"/>
  <c r="M39" i="1"/>
  <c r="L39" i="1"/>
  <c r="N25" i="1"/>
  <c r="M25" i="1"/>
  <c r="L25" i="1"/>
  <c r="N11" i="1"/>
  <c r="M11" i="1"/>
  <c r="L11" i="1"/>
  <c r="J149" i="1"/>
  <c r="H260" i="1"/>
  <c r="I260" i="1" s="1"/>
  <c r="K260" i="1"/>
  <c r="M277" i="1"/>
  <c r="L277" i="1"/>
  <c r="N277" i="1"/>
  <c r="H343" i="1"/>
  <c r="I343" i="1" s="1"/>
  <c r="K343" i="1"/>
  <c r="H329" i="1"/>
  <c r="I329" i="1" s="1"/>
  <c r="K329" i="1"/>
  <c r="J329" i="1"/>
  <c r="H315" i="1"/>
  <c r="I315" i="1" s="1"/>
  <c r="K315" i="1"/>
  <c r="H301" i="1"/>
  <c r="I301" i="1" s="1"/>
  <c r="K301" i="1"/>
  <c r="J301" i="1"/>
  <c r="H287" i="1"/>
  <c r="I287" i="1" s="1"/>
  <c r="K287" i="1"/>
  <c r="H273" i="1"/>
  <c r="I273" i="1" s="1"/>
  <c r="J273" i="1"/>
  <c r="K273" i="1"/>
  <c r="H259" i="1"/>
  <c r="I259" i="1" s="1"/>
  <c r="K259" i="1"/>
  <c r="H245" i="1"/>
  <c r="I245" i="1" s="1"/>
  <c r="K245" i="1"/>
  <c r="J245" i="1"/>
  <c r="H231" i="1"/>
  <c r="I231" i="1" s="1"/>
  <c r="J231" i="1"/>
  <c r="K231" i="1"/>
  <c r="H217" i="1"/>
  <c r="I217" i="1" s="1"/>
  <c r="K217" i="1"/>
  <c r="J217" i="1"/>
  <c r="H203" i="1"/>
  <c r="I203" i="1" s="1"/>
  <c r="K203" i="1"/>
  <c r="H189" i="1"/>
  <c r="I189" i="1" s="1"/>
  <c r="K189" i="1"/>
  <c r="J189" i="1"/>
  <c r="H175" i="1"/>
  <c r="I175" i="1" s="1"/>
  <c r="J175" i="1"/>
  <c r="K175" i="1"/>
  <c r="H161" i="1"/>
  <c r="I161" i="1" s="1"/>
  <c r="K161" i="1"/>
  <c r="J161" i="1"/>
  <c r="H147" i="1"/>
  <c r="I147" i="1" s="1"/>
  <c r="K147" i="1"/>
  <c r="H133" i="1"/>
  <c r="I133" i="1" s="1"/>
  <c r="J133" i="1"/>
  <c r="K133" i="1"/>
  <c r="H119" i="1"/>
  <c r="I119" i="1" s="1"/>
  <c r="K119" i="1"/>
  <c r="J119" i="1"/>
  <c r="H105" i="1"/>
  <c r="I105" i="1" s="1"/>
  <c r="K105" i="1"/>
  <c r="J105" i="1"/>
  <c r="H91" i="1"/>
  <c r="I91" i="1" s="1"/>
  <c r="J91" i="1"/>
  <c r="K91" i="1"/>
  <c r="H77" i="1"/>
  <c r="I77" i="1" s="1"/>
  <c r="K77" i="1"/>
  <c r="J77" i="1"/>
  <c r="H63" i="1"/>
  <c r="I63" i="1" s="1"/>
  <c r="K63" i="1"/>
  <c r="H49" i="1"/>
  <c r="I49" i="1" s="1"/>
  <c r="K49" i="1"/>
  <c r="J49" i="1"/>
  <c r="H35" i="1"/>
  <c r="I35" i="1" s="1"/>
  <c r="K35" i="1"/>
  <c r="H21" i="1"/>
  <c r="I21" i="1" s="1"/>
  <c r="K21" i="1"/>
  <c r="J21" i="1"/>
  <c r="H7" i="1"/>
  <c r="I7" i="1" s="1"/>
  <c r="J7" i="1"/>
  <c r="K7" i="1"/>
  <c r="M346" i="1"/>
  <c r="L346" i="1"/>
  <c r="N332" i="1"/>
  <c r="L332" i="1"/>
  <c r="M332" i="1"/>
  <c r="N318" i="1"/>
  <c r="M318" i="1"/>
  <c r="L318" i="1"/>
  <c r="N304" i="1"/>
  <c r="M304" i="1"/>
  <c r="L304" i="1"/>
  <c r="N290" i="1"/>
  <c r="M290" i="1"/>
  <c r="L290" i="1"/>
  <c r="L276" i="1"/>
  <c r="M276" i="1"/>
  <c r="N276" i="1"/>
  <c r="N262" i="1"/>
  <c r="M262" i="1"/>
  <c r="N248" i="1"/>
  <c r="M248" i="1"/>
  <c r="L248" i="1"/>
  <c r="M234" i="1"/>
  <c r="L234" i="1"/>
  <c r="N234" i="1"/>
  <c r="N220" i="1"/>
  <c r="M220" i="1"/>
  <c r="L220" i="1"/>
  <c r="N192" i="1"/>
  <c r="M192" i="1"/>
  <c r="L192" i="1"/>
  <c r="L178" i="1"/>
  <c r="N178" i="1"/>
  <c r="M178" i="1"/>
  <c r="N164" i="1"/>
  <c r="M164" i="1"/>
  <c r="L164" i="1"/>
  <c r="N150" i="1"/>
  <c r="L150" i="1"/>
  <c r="M150" i="1"/>
  <c r="M136" i="1"/>
  <c r="L136" i="1"/>
  <c r="N136" i="1"/>
  <c r="M122" i="1"/>
  <c r="L122" i="1"/>
  <c r="N122" i="1"/>
  <c r="M108" i="1"/>
  <c r="L108" i="1"/>
  <c r="N94" i="1"/>
  <c r="M94" i="1"/>
  <c r="L94" i="1"/>
  <c r="L80" i="1"/>
  <c r="N80" i="1"/>
  <c r="M80" i="1"/>
  <c r="M66" i="1"/>
  <c r="L66" i="1"/>
  <c r="N66" i="1"/>
  <c r="N52" i="1"/>
  <c r="M52" i="1"/>
  <c r="M38" i="1"/>
  <c r="N38" i="1"/>
  <c r="L38" i="1"/>
  <c r="M24" i="1"/>
  <c r="L24" i="1"/>
  <c r="N24" i="1"/>
  <c r="N10" i="1"/>
  <c r="M10" i="1"/>
  <c r="L10" i="1"/>
  <c r="J205" i="1"/>
  <c r="H288" i="1"/>
  <c r="I288" i="1" s="1"/>
  <c r="K288" i="1"/>
  <c r="J288" i="1"/>
  <c r="H162" i="1"/>
  <c r="I162" i="1" s="1"/>
  <c r="K162" i="1"/>
  <c r="J162" i="1"/>
  <c r="H64" i="1"/>
  <c r="I64" i="1" s="1"/>
  <c r="J64" i="1"/>
  <c r="K64" i="1"/>
  <c r="M193" i="1"/>
  <c r="L193" i="1"/>
  <c r="H342" i="1"/>
  <c r="I342" i="1" s="1"/>
  <c r="K342" i="1"/>
  <c r="H328" i="1"/>
  <c r="I328" i="1" s="1"/>
  <c r="K328" i="1"/>
  <c r="J328" i="1"/>
  <c r="H314" i="1"/>
  <c r="I314" i="1" s="1"/>
  <c r="K314" i="1"/>
  <c r="J314" i="1"/>
  <c r="H300" i="1"/>
  <c r="I300" i="1" s="1"/>
  <c r="K300" i="1"/>
  <c r="J300" i="1"/>
  <c r="H272" i="1"/>
  <c r="I272" i="1" s="1"/>
  <c r="J272" i="1"/>
  <c r="K272" i="1"/>
  <c r="H258" i="1"/>
  <c r="I258" i="1" s="1"/>
  <c r="K258" i="1"/>
  <c r="H244" i="1"/>
  <c r="I244" i="1" s="1"/>
  <c r="K244" i="1"/>
  <c r="J244" i="1"/>
  <c r="H230" i="1"/>
  <c r="I230" i="1" s="1"/>
  <c r="K230" i="1"/>
  <c r="H216" i="1"/>
  <c r="I216" i="1" s="1"/>
  <c r="K216" i="1"/>
  <c r="J216" i="1"/>
  <c r="H202" i="1"/>
  <c r="I202" i="1" s="1"/>
  <c r="K202" i="1"/>
  <c r="H188" i="1"/>
  <c r="I188" i="1" s="1"/>
  <c r="K188" i="1"/>
  <c r="J188" i="1"/>
  <c r="H174" i="1"/>
  <c r="I174" i="1" s="1"/>
  <c r="J174" i="1"/>
  <c r="K174" i="1"/>
  <c r="H160" i="1"/>
  <c r="I160" i="1" s="1"/>
  <c r="J160" i="1"/>
  <c r="K160" i="1"/>
  <c r="H132" i="1"/>
  <c r="I132" i="1" s="1"/>
  <c r="K132" i="1"/>
  <c r="J132" i="1"/>
  <c r="H118" i="1"/>
  <c r="I118" i="1" s="1"/>
  <c r="J118" i="1"/>
  <c r="K118" i="1"/>
  <c r="H104" i="1"/>
  <c r="I104" i="1" s="1"/>
  <c r="J104" i="1"/>
  <c r="K104" i="1"/>
  <c r="H90" i="1"/>
  <c r="I90" i="1" s="1"/>
  <c r="K90" i="1"/>
  <c r="H76" i="1"/>
  <c r="I76" i="1" s="1"/>
  <c r="K76" i="1"/>
  <c r="J76" i="1"/>
  <c r="H62" i="1"/>
  <c r="I62" i="1" s="1"/>
  <c r="K62" i="1"/>
  <c r="H48" i="1"/>
  <c r="I48" i="1" s="1"/>
  <c r="J48" i="1"/>
  <c r="K48" i="1"/>
  <c r="H20" i="1"/>
  <c r="I20" i="1" s="1"/>
  <c r="K20" i="1"/>
  <c r="J20" i="1"/>
  <c r="H6" i="1"/>
  <c r="I6" i="1" s="1"/>
  <c r="K6" i="1"/>
  <c r="J6" i="1"/>
  <c r="N345" i="1"/>
  <c r="M345" i="1"/>
  <c r="L345" i="1"/>
  <c r="M331" i="1"/>
  <c r="N331" i="1"/>
  <c r="M317" i="1"/>
  <c r="L317" i="1"/>
  <c r="N317" i="1"/>
  <c r="N303" i="1"/>
  <c r="M303" i="1"/>
  <c r="L303" i="1"/>
  <c r="M289" i="1"/>
  <c r="L289" i="1"/>
  <c r="M275" i="1"/>
  <c r="N275" i="1"/>
  <c r="L275" i="1"/>
  <c r="N261" i="1"/>
  <c r="M261" i="1"/>
  <c r="L261" i="1"/>
  <c r="N247" i="1"/>
  <c r="M247" i="1"/>
  <c r="L247" i="1"/>
  <c r="L233" i="1"/>
  <c r="N233" i="1"/>
  <c r="M233" i="1"/>
  <c r="M219" i="1"/>
  <c r="L219" i="1"/>
  <c r="N219" i="1"/>
  <c r="N205" i="1"/>
  <c r="L205" i="1"/>
  <c r="M205" i="1"/>
  <c r="M191" i="1"/>
  <c r="L191" i="1"/>
  <c r="N191" i="1"/>
  <c r="N177" i="1"/>
  <c r="M177" i="1"/>
  <c r="L177" i="1"/>
  <c r="N163" i="1"/>
  <c r="M163" i="1"/>
  <c r="L163" i="1"/>
  <c r="N149" i="1"/>
  <c r="L149" i="1"/>
  <c r="M135" i="1"/>
  <c r="N135" i="1"/>
  <c r="L135" i="1"/>
  <c r="M121" i="1"/>
  <c r="L121" i="1"/>
  <c r="N121" i="1"/>
  <c r="N107" i="1"/>
  <c r="M107" i="1"/>
  <c r="L107" i="1"/>
  <c r="M93" i="1"/>
  <c r="L93" i="1"/>
  <c r="N93" i="1"/>
  <c r="N79" i="1"/>
  <c r="L79" i="1"/>
  <c r="M65" i="1"/>
  <c r="L65" i="1"/>
  <c r="N65" i="1"/>
  <c r="N51" i="1"/>
  <c r="M51" i="1"/>
  <c r="L51" i="1"/>
  <c r="L37" i="1"/>
  <c r="N37" i="1"/>
  <c r="M37" i="1"/>
  <c r="M23" i="1"/>
  <c r="L23" i="1"/>
  <c r="N23" i="1"/>
  <c r="N9" i="1"/>
  <c r="L9" i="1"/>
  <c r="M9" i="1"/>
  <c r="J147" i="1"/>
  <c r="K286" i="1"/>
  <c r="L331" i="1"/>
  <c r="N108" i="1"/>
  <c r="H302" i="1"/>
  <c r="I302" i="1" s="1"/>
  <c r="K302" i="1"/>
  <c r="J302" i="1"/>
  <c r="H218" i="1"/>
  <c r="I218" i="1" s="1"/>
  <c r="K218" i="1"/>
  <c r="J218" i="1"/>
  <c r="H120" i="1"/>
  <c r="I120" i="1" s="1"/>
  <c r="K120" i="1"/>
  <c r="H36" i="1"/>
  <c r="I36" i="1" s="1"/>
  <c r="J36" i="1"/>
  <c r="K36" i="1"/>
  <c r="M207" i="1"/>
  <c r="N207" i="1"/>
  <c r="H341" i="1"/>
  <c r="I341" i="1" s="1"/>
  <c r="K341" i="1"/>
  <c r="H243" i="1"/>
  <c r="I243" i="1" s="1"/>
  <c r="K243" i="1"/>
  <c r="J243" i="1"/>
  <c r="H187" i="1"/>
  <c r="I187" i="1" s="1"/>
  <c r="K187" i="1"/>
  <c r="J187" i="1"/>
  <c r="H173" i="1"/>
  <c r="I173" i="1" s="1"/>
  <c r="J173" i="1"/>
  <c r="K173" i="1"/>
  <c r="H145" i="1"/>
  <c r="I145" i="1" s="1"/>
  <c r="J145" i="1"/>
  <c r="H131" i="1"/>
  <c r="I131" i="1" s="1"/>
  <c r="K131" i="1"/>
  <c r="J131" i="1"/>
  <c r="H117" i="1"/>
  <c r="I117" i="1" s="1"/>
  <c r="K117" i="1"/>
  <c r="J117" i="1"/>
  <c r="H103" i="1"/>
  <c r="I103" i="1" s="1"/>
  <c r="J103" i="1"/>
  <c r="H89" i="1"/>
  <c r="I89" i="1" s="1"/>
  <c r="K89" i="1"/>
  <c r="H75" i="1"/>
  <c r="I75" i="1" s="1"/>
  <c r="J75" i="1"/>
  <c r="K75" i="1"/>
  <c r="H61" i="1"/>
  <c r="I61" i="1" s="1"/>
  <c r="K61" i="1"/>
  <c r="H47" i="1"/>
  <c r="I47" i="1" s="1"/>
  <c r="J47" i="1"/>
  <c r="H19" i="1"/>
  <c r="I19" i="1" s="1"/>
  <c r="K19" i="1"/>
  <c r="J19" i="1"/>
  <c r="H5" i="1"/>
  <c r="I5" i="1" s="1"/>
  <c r="K5" i="1"/>
  <c r="J5" i="1"/>
  <c r="M344" i="1"/>
  <c r="L344" i="1"/>
  <c r="N344" i="1"/>
  <c r="N330" i="1"/>
  <c r="M330" i="1"/>
  <c r="L316" i="1"/>
  <c r="N316" i="1"/>
  <c r="M316" i="1"/>
  <c r="N302" i="1"/>
  <c r="M302" i="1"/>
  <c r="L302" i="1"/>
  <c r="N288" i="1"/>
  <c r="L288" i="1"/>
  <c r="N274" i="1"/>
  <c r="L274" i="1"/>
  <c r="N260" i="1"/>
  <c r="M260" i="1"/>
  <c r="L260" i="1"/>
  <c r="N246" i="1"/>
  <c r="M246" i="1"/>
  <c r="L246" i="1"/>
  <c r="N232" i="1"/>
  <c r="L232" i="1"/>
  <c r="M232" i="1"/>
  <c r="L218" i="1"/>
  <c r="M218" i="1"/>
  <c r="N218" i="1"/>
  <c r="N204" i="1"/>
  <c r="M204" i="1"/>
  <c r="L204" i="1"/>
  <c r="L190" i="1"/>
  <c r="N190" i="1"/>
  <c r="M190" i="1"/>
  <c r="M176" i="1"/>
  <c r="N176" i="1"/>
  <c r="L176" i="1"/>
  <c r="N162" i="1"/>
  <c r="M162" i="1"/>
  <c r="L162" i="1"/>
  <c r="N148" i="1"/>
  <c r="L148" i="1"/>
  <c r="M148" i="1"/>
  <c r="M134" i="1"/>
  <c r="N134" i="1"/>
  <c r="L120" i="1"/>
  <c r="N120" i="1"/>
  <c r="M120" i="1"/>
  <c r="M106" i="1"/>
  <c r="L106" i="1"/>
  <c r="L92" i="1"/>
  <c r="M92" i="1"/>
  <c r="N92" i="1"/>
  <c r="N78" i="1"/>
  <c r="L78" i="1"/>
  <c r="M64" i="1"/>
  <c r="L64" i="1"/>
  <c r="N64" i="1"/>
  <c r="N50" i="1"/>
  <c r="M50" i="1"/>
  <c r="L50" i="1"/>
  <c r="L36" i="1"/>
  <c r="N36" i="1"/>
  <c r="M36" i="1"/>
  <c r="L22" i="1"/>
  <c r="M22" i="1"/>
  <c r="N22" i="1"/>
  <c r="J261" i="1"/>
  <c r="J203" i="1"/>
  <c r="J146" i="1"/>
  <c r="K285" i="1"/>
  <c r="L330" i="1"/>
  <c r="N346" i="1"/>
  <c r="N106" i="1"/>
  <c r="H316" i="1"/>
  <c r="I316" i="1" s="1"/>
  <c r="K316" i="1"/>
  <c r="H232" i="1"/>
  <c r="I232" i="1" s="1"/>
  <c r="J232" i="1"/>
  <c r="K232" i="1"/>
  <c r="H204" i="1"/>
  <c r="I204" i="1" s="1"/>
  <c r="K204" i="1"/>
  <c r="H148" i="1"/>
  <c r="I148" i="1" s="1"/>
  <c r="K148" i="1"/>
  <c r="H78" i="1"/>
  <c r="I78" i="1" s="1"/>
  <c r="J78" i="1"/>
  <c r="K78" i="1"/>
  <c r="N221" i="1"/>
  <c r="M221" i="1"/>
  <c r="L221" i="1"/>
  <c r="H2" i="1"/>
  <c r="I2" i="1" s="1"/>
  <c r="J2" i="1"/>
  <c r="H327" i="1"/>
  <c r="I327" i="1" s="1"/>
  <c r="K327" i="1"/>
  <c r="J327" i="1"/>
  <c r="H313" i="1"/>
  <c r="I313" i="1" s="1"/>
  <c r="K313" i="1"/>
  <c r="J313" i="1"/>
  <c r="H299" i="1"/>
  <c r="I299" i="1" s="1"/>
  <c r="K299" i="1"/>
  <c r="J299" i="1"/>
  <c r="H271" i="1"/>
  <c r="I271" i="1" s="1"/>
  <c r="J271" i="1"/>
  <c r="K271" i="1"/>
  <c r="H257" i="1"/>
  <c r="I257" i="1" s="1"/>
  <c r="K257" i="1"/>
  <c r="H229" i="1"/>
  <c r="I229" i="1" s="1"/>
  <c r="K229" i="1"/>
  <c r="H215" i="1"/>
  <c r="I215" i="1" s="1"/>
  <c r="K215" i="1"/>
  <c r="J215" i="1"/>
  <c r="H159" i="1"/>
  <c r="I159" i="1" s="1"/>
  <c r="K159" i="1"/>
  <c r="J159" i="1"/>
  <c r="J260" i="1"/>
  <c r="J202" i="1"/>
  <c r="K2" i="1"/>
  <c r="M348" i="1"/>
  <c r="M149" i="1"/>
  <c r="H330" i="1"/>
  <c r="I330" i="1" s="1"/>
  <c r="K330" i="1"/>
  <c r="J330" i="1"/>
  <c r="H274" i="1"/>
  <c r="I274" i="1" s="1"/>
  <c r="J274" i="1"/>
  <c r="K274" i="1"/>
  <c r="H176" i="1"/>
  <c r="I176" i="1" s="1"/>
  <c r="K176" i="1"/>
  <c r="J176" i="1"/>
  <c r="H92" i="1"/>
  <c r="I92" i="1" s="1"/>
  <c r="K92" i="1"/>
  <c r="J92" i="1"/>
  <c r="L235" i="1"/>
  <c r="M235" i="1"/>
  <c r="N235" i="1"/>
  <c r="J259" i="1"/>
  <c r="J201" i="1"/>
  <c r="K103" i="1"/>
  <c r="L134" i="1"/>
  <c r="M347" i="1"/>
  <c r="N289" i="1"/>
  <c r="H290" i="1"/>
  <c r="I290" i="1" s="1"/>
  <c r="K290" i="1"/>
  <c r="J290" i="1"/>
  <c r="H262" i="1"/>
  <c r="I262" i="1" s="1"/>
  <c r="K262" i="1"/>
  <c r="H248" i="1"/>
  <c r="I248" i="1" s="1"/>
  <c r="K248" i="1"/>
  <c r="H234" i="1"/>
  <c r="I234" i="1" s="1"/>
  <c r="K234" i="1"/>
  <c r="J234" i="1"/>
  <c r="H206" i="1"/>
  <c r="I206" i="1" s="1"/>
  <c r="K206" i="1"/>
  <c r="H192" i="1"/>
  <c r="I192" i="1" s="1"/>
  <c r="J192" i="1"/>
  <c r="H150" i="1"/>
  <c r="I150" i="1" s="1"/>
  <c r="K150" i="1"/>
  <c r="H136" i="1"/>
  <c r="I136" i="1" s="1"/>
  <c r="K136" i="1"/>
  <c r="J136" i="1"/>
  <c r="H122" i="1"/>
  <c r="I122" i="1" s="1"/>
  <c r="K122" i="1"/>
  <c r="H108" i="1"/>
  <c r="I108" i="1" s="1"/>
  <c r="K108" i="1"/>
  <c r="H94" i="1"/>
  <c r="I94" i="1" s="1"/>
  <c r="K94" i="1"/>
  <c r="J94" i="1"/>
  <c r="H66" i="1"/>
  <c r="I66" i="1" s="1"/>
  <c r="K66" i="1"/>
  <c r="H52" i="1"/>
  <c r="I52" i="1" s="1"/>
  <c r="K52" i="1"/>
  <c r="J52" i="1"/>
  <c r="H38" i="1"/>
  <c r="I38" i="1" s="1"/>
  <c r="K38" i="1"/>
  <c r="J38" i="1"/>
  <c r="H24" i="1"/>
  <c r="I24" i="1" s="1"/>
  <c r="K24" i="1"/>
  <c r="J24" i="1"/>
  <c r="H10" i="1"/>
  <c r="I10" i="1" s="1"/>
  <c r="K10" i="1"/>
  <c r="J10" i="1"/>
  <c r="L349" i="1"/>
  <c r="M349" i="1"/>
  <c r="L335" i="1"/>
  <c r="M335" i="1"/>
  <c r="N335" i="1"/>
  <c r="L321" i="1"/>
  <c r="N321" i="1"/>
  <c r="L307" i="1"/>
  <c r="M307" i="1"/>
  <c r="N307" i="1"/>
  <c r="L293" i="1"/>
  <c r="M293" i="1"/>
  <c r="L279" i="1"/>
  <c r="N279" i="1"/>
  <c r="M279" i="1"/>
  <c r="L251" i="1"/>
  <c r="M251" i="1"/>
  <c r="L237" i="1"/>
  <c r="M237" i="1"/>
  <c r="N237" i="1"/>
  <c r="L223" i="1"/>
  <c r="N223" i="1"/>
  <c r="M223" i="1"/>
  <c r="L209" i="1"/>
  <c r="M209" i="1"/>
  <c r="N209" i="1"/>
  <c r="L195" i="1"/>
  <c r="M195" i="1"/>
  <c r="L181" i="1"/>
  <c r="N181" i="1"/>
  <c r="M181" i="1"/>
  <c r="L167" i="1"/>
  <c r="M167" i="1"/>
  <c r="L153" i="1"/>
  <c r="N153" i="1"/>
  <c r="M153" i="1"/>
  <c r="L139" i="1"/>
  <c r="M139" i="1"/>
  <c r="N139" i="1"/>
  <c r="L125" i="1"/>
  <c r="N125" i="1"/>
  <c r="L111" i="1"/>
  <c r="M111" i="1"/>
  <c r="N111" i="1"/>
  <c r="L97" i="1"/>
  <c r="N97" i="1"/>
  <c r="M97" i="1"/>
  <c r="L83" i="1"/>
  <c r="M83" i="1"/>
  <c r="N83" i="1"/>
  <c r="L69" i="1"/>
  <c r="M69" i="1"/>
  <c r="N69" i="1"/>
  <c r="L55" i="1"/>
  <c r="N55" i="1"/>
  <c r="L41" i="1"/>
  <c r="M41" i="1"/>
  <c r="N41" i="1"/>
  <c r="L27" i="1"/>
  <c r="N27" i="1"/>
  <c r="L13" i="1"/>
  <c r="M13" i="1"/>
  <c r="N13" i="1"/>
  <c r="J262" i="1"/>
  <c r="J206" i="1"/>
  <c r="J150" i="1"/>
  <c r="K324" i="1"/>
  <c r="K253" i="1"/>
  <c r="L271" i="1"/>
  <c r="H354" i="1"/>
  <c r="I354" i="1" s="1"/>
  <c r="J354" i="1"/>
  <c r="H340" i="1"/>
  <c r="I340" i="1" s="1"/>
  <c r="J340" i="1"/>
  <c r="K340" i="1"/>
  <c r="H326" i="1"/>
  <c r="I326" i="1" s="1"/>
  <c r="J326" i="1"/>
  <c r="H312" i="1"/>
  <c r="I312" i="1" s="1"/>
  <c r="K312" i="1"/>
  <c r="J312" i="1"/>
  <c r="H298" i="1"/>
  <c r="I298" i="1" s="1"/>
  <c r="K298" i="1"/>
  <c r="J298" i="1"/>
  <c r="H284" i="1"/>
  <c r="I284" i="1" s="1"/>
  <c r="J284" i="1"/>
  <c r="H270" i="1"/>
  <c r="I270" i="1" s="1"/>
  <c r="J270" i="1"/>
  <c r="K270" i="1"/>
  <c r="H256" i="1"/>
  <c r="I256" i="1" s="1"/>
  <c r="J256" i="1"/>
  <c r="K256" i="1"/>
  <c r="H242" i="1"/>
  <c r="I242" i="1" s="1"/>
  <c r="J242" i="1"/>
  <c r="K242" i="1"/>
  <c r="H228" i="1"/>
  <c r="I228" i="1" s="1"/>
  <c r="K228" i="1"/>
  <c r="J228" i="1"/>
  <c r="H214" i="1"/>
  <c r="I214" i="1" s="1"/>
  <c r="J214" i="1"/>
  <c r="K214" i="1"/>
  <c r="H200" i="1"/>
  <c r="I200" i="1" s="1"/>
  <c r="J200" i="1"/>
  <c r="H186" i="1"/>
  <c r="I186" i="1" s="1"/>
  <c r="J186" i="1"/>
  <c r="K186" i="1"/>
  <c r="H172" i="1"/>
  <c r="I172" i="1" s="1"/>
  <c r="K172" i="1"/>
  <c r="J172" i="1"/>
  <c r="H158" i="1"/>
  <c r="I158" i="1" s="1"/>
  <c r="J158" i="1"/>
  <c r="K158" i="1"/>
  <c r="H144" i="1"/>
  <c r="I144" i="1" s="1"/>
  <c r="J144" i="1"/>
  <c r="H130" i="1"/>
  <c r="I130" i="1" s="1"/>
  <c r="K130" i="1"/>
  <c r="J130" i="1"/>
  <c r="H116" i="1"/>
  <c r="I116" i="1" s="1"/>
  <c r="J116" i="1"/>
  <c r="H102" i="1"/>
  <c r="I102" i="1" s="1"/>
  <c r="K102" i="1"/>
  <c r="H88" i="1"/>
  <c r="I88" i="1" s="1"/>
  <c r="K88" i="1"/>
  <c r="H74" i="1"/>
  <c r="I74" i="1" s="1"/>
  <c r="J74" i="1"/>
  <c r="H60" i="1"/>
  <c r="I60" i="1" s="1"/>
  <c r="K60" i="1"/>
  <c r="H32" i="1"/>
  <c r="I32" i="1" s="1"/>
  <c r="J32" i="1"/>
  <c r="H18" i="1"/>
  <c r="I18" i="1" s="1"/>
  <c r="K18" i="1"/>
  <c r="H4" i="1"/>
  <c r="I4" i="1" s="1"/>
  <c r="K4" i="1"/>
  <c r="N343" i="1"/>
  <c r="L343" i="1"/>
  <c r="M343" i="1"/>
  <c r="N329" i="1"/>
  <c r="M329" i="1"/>
  <c r="N301" i="1"/>
  <c r="M301" i="1"/>
  <c r="L301" i="1"/>
  <c r="N287" i="1"/>
  <c r="L287" i="1"/>
  <c r="N273" i="1"/>
  <c r="L273" i="1"/>
  <c r="N259" i="1"/>
  <c r="M259" i="1"/>
  <c r="L259" i="1"/>
  <c r="N245" i="1"/>
  <c r="L245" i="1"/>
  <c r="N231" i="1"/>
  <c r="L231" i="1"/>
  <c r="N203" i="1"/>
  <c r="M203" i="1"/>
  <c r="L203" i="1"/>
  <c r="N175" i="1"/>
  <c r="L175" i="1"/>
  <c r="N161" i="1"/>
  <c r="M161" i="1"/>
  <c r="L161" i="1"/>
  <c r="N147" i="1"/>
  <c r="L147" i="1"/>
  <c r="N133" i="1"/>
  <c r="M133" i="1"/>
  <c r="N119" i="1"/>
  <c r="L119" i="1"/>
  <c r="N105" i="1"/>
  <c r="M105" i="1"/>
  <c r="L105" i="1"/>
  <c r="N91" i="1"/>
  <c r="L91" i="1"/>
  <c r="N77" i="1"/>
  <c r="M77" i="1"/>
  <c r="N63" i="1"/>
  <c r="M63" i="1"/>
  <c r="L63" i="1"/>
  <c r="N49" i="1"/>
  <c r="M49" i="1"/>
  <c r="L49" i="1"/>
  <c r="N35" i="1"/>
  <c r="M35" i="1"/>
  <c r="L35" i="1"/>
  <c r="N21" i="1"/>
  <c r="L21" i="1"/>
  <c r="M21" i="1"/>
  <c r="N7" i="1"/>
  <c r="M7" i="1"/>
  <c r="L7" i="1"/>
  <c r="H333" i="1"/>
  <c r="I333" i="1" s="1"/>
  <c r="H237" i="1"/>
  <c r="I237" i="1" s="1"/>
  <c r="H195" i="1"/>
  <c r="I195" i="1" s="1"/>
  <c r="H99" i="1"/>
  <c r="I99" i="1" s="1"/>
  <c r="H57" i="1"/>
  <c r="I57" i="1" s="1"/>
  <c r="J334" i="1"/>
  <c r="J248" i="1"/>
  <c r="J222" i="1"/>
  <c r="J196" i="1"/>
  <c r="J166" i="1"/>
  <c r="J58" i="1"/>
  <c r="K178" i="1"/>
  <c r="K30" i="1"/>
  <c r="M271" i="1"/>
  <c r="M125" i="1"/>
  <c r="N168" i="1"/>
  <c r="H353" i="1"/>
  <c r="I353" i="1" s="1"/>
  <c r="J353" i="1"/>
  <c r="H339" i="1"/>
  <c r="I339" i="1" s="1"/>
  <c r="J339" i="1"/>
  <c r="K339" i="1"/>
  <c r="H325" i="1"/>
  <c r="I325" i="1" s="1"/>
  <c r="J325" i="1"/>
  <c r="K325" i="1"/>
  <c r="H311" i="1"/>
  <c r="I311" i="1" s="1"/>
  <c r="J311" i="1"/>
  <c r="H297" i="1"/>
  <c r="I297" i="1" s="1"/>
  <c r="K297" i="1"/>
  <c r="J297" i="1"/>
  <c r="H283" i="1"/>
  <c r="I283" i="1" s="1"/>
  <c r="J283" i="1"/>
  <c r="K283" i="1"/>
  <c r="H269" i="1"/>
  <c r="I269" i="1" s="1"/>
  <c r="J269" i="1"/>
  <c r="H255" i="1"/>
  <c r="I255" i="1" s="1"/>
  <c r="J255" i="1"/>
  <c r="H241" i="1"/>
  <c r="I241" i="1" s="1"/>
  <c r="J241" i="1"/>
  <c r="K241" i="1"/>
  <c r="H227" i="1"/>
  <c r="I227" i="1" s="1"/>
  <c r="K227" i="1"/>
  <c r="J227" i="1"/>
  <c r="H213" i="1"/>
  <c r="I213" i="1" s="1"/>
  <c r="J213" i="1"/>
  <c r="H199" i="1"/>
  <c r="I199" i="1" s="1"/>
  <c r="J199" i="1"/>
  <c r="K199" i="1"/>
  <c r="H185" i="1"/>
  <c r="I185" i="1" s="1"/>
  <c r="J185" i="1"/>
  <c r="K185" i="1"/>
  <c r="H171" i="1"/>
  <c r="I171" i="1" s="1"/>
  <c r="K171" i="1"/>
  <c r="J171" i="1"/>
  <c r="H157" i="1"/>
  <c r="I157" i="1" s="1"/>
  <c r="J157" i="1"/>
  <c r="K157" i="1"/>
  <c r="H143" i="1"/>
  <c r="I143" i="1" s="1"/>
  <c r="J143" i="1"/>
  <c r="H129" i="1"/>
  <c r="I129" i="1" s="1"/>
  <c r="K129" i="1"/>
  <c r="J129" i="1"/>
  <c r="H115" i="1"/>
  <c r="I115" i="1" s="1"/>
  <c r="J115" i="1"/>
  <c r="H101" i="1"/>
  <c r="I101" i="1" s="1"/>
  <c r="J101" i="1"/>
  <c r="H87" i="1"/>
  <c r="I87" i="1" s="1"/>
  <c r="K87" i="1"/>
  <c r="H73" i="1"/>
  <c r="I73" i="1" s="1"/>
  <c r="K73" i="1"/>
  <c r="J73" i="1"/>
  <c r="H59" i="1"/>
  <c r="I59" i="1" s="1"/>
  <c r="K59" i="1"/>
  <c r="H45" i="1"/>
  <c r="I45" i="1" s="1"/>
  <c r="K45" i="1"/>
  <c r="H31" i="1"/>
  <c r="I31" i="1" s="1"/>
  <c r="J31" i="1"/>
  <c r="K31" i="1"/>
  <c r="H17" i="1"/>
  <c r="I17" i="1" s="1"/>
  <c r="K17" i="1"/>
  <c r="J17" i="1"/>
  <c r="H3" i="1"/>
  <c r="I3" i="1" s="1"/>
  <c r="K3" i="1"/>
  <c r="N342" i="1"/>
  <c r="M342" i="1"/>
  <c r="L342" i="1"/>
  <c r="N328" i="1"/>
  <c r="L328" i="1"/>
  <c r="N300" i="1"/>
  <c r="M300" i="1"/>
  <c r="L300" i="1"/>
  <c r="N286" i="1"/>
  <c r="L286" i="1"/>
  <c r="M286" i="1"/>
  <c r="N258" i="1"/>
  <c r="L258" i="1"/>
  <c r="N244" i="1"/>
  <c r="M244" i="1"/>
  <c r="L244" i="1"/>
  <c r="N230" i="1"/>
  <c r="L230" i="1"/>
  <c r="M230" i="1"/>
  <c r="N202" i="1"/>
  <c r="M202" i="1"/>
  <c r="L202" i="1"/>
  <c r="N174" i="1"/>
  <c r="L174" i="1"/>
  <c r="N160" i="1"/>
  <c r="L160" i="1"/>
  <c r="M160" i="1"/>
  <c r="N146" i="1"/>
  <c r="M146" i="1"/>
  <c r="L146" i="1"/>
  <c r="N132" i="1"/>
  <c r="M132" i="1"/>
  <c r="N118" i="1"/>
  <c r="L118" i="1"/>
  <c r="M118" i="1"/>
  <c r="N104" i="1"/>
  <c r="M104" i="1"/>
  <c r="L104" i="1"/>
  <c r="N90" i="1"/>
  <c r="L90" i="1"/>
  <c r="N76" i="1"/>
  <c r="M76" i="1"/>
  <c r="N62" i="1"/>
  <c r="L62" i="1"/>
  <c r="M62" i="1"/>
  <c r="N48" i="1"/>
  <c r="M48" i="1"/>
  <c r="N34" i="1"/>
  <c r="L34" i="1"/>
  <c r="M34" i="1"/>
  <c r="N20" i="1"/>
  <c r="L20" i="1"/>
  <c r="M20" i="1"/>
  <c r="N6" i="1"/>
  <c r="M6" i="1"/>
  <c r="L6" i="1"/>
  <c r="H324" i="1"/>
  <c r="I324" i="1" s="1"/>
  <c r="J57" i="1"/>
  <c r="K269" i="1"/>
  <c r="K80" i="1"/>
  <c r="K29" i="1"/>
  <c r="L48" i="1"/>
  <c r="M265" i="1"/>
  <c r="N167" i="1"/>
  <c r="J338" i="1"/>
  <c r="K338" i="1"/>
  <c r="K296" i="1"/>
  <c r="J296" i="1"/>
  <c r="J282" i="1"/>
  <c r="K282" i="1"/>
  <c r="J268" i="1"/>
  <c r="H268" i="1"/>
  <c r="I268" i="1" s="1"/>
  <c r="J254" i="1"/>
  <c r="K254" i="1"/>
  <c r="J240" i="1"/>
  <c r="H240" i="1"/>
  <c r="I240" i="1" s="1"/>
  <c r="J226" i="1"/>
  <c r="K226" i="1"/>
  <c r="J212" i="1"/>
  <c r="K212" i="1"/>
  <c r="J198" i="1"/>
  <c r="K198" i="1"/>
  <c r="J184" i="1"/>
  <c r="K184" i="1"/>
  <c r="K170" i="1"/>
  <c r="J170" i="1"/>
  <c r="H170" i="1"/>
  <c r="I170" i="1" s="1"/>
  <c r="J156" i="1"/>
  <c r="K156" i="1"/>
  <c r="J142" i="1"/>
  <c r="H142" i="1"/>
  <c r="I142" i="1" s="1"/>
  <c r="K86" i="1"/>
  <c r="J86" i="1"/>
  <c r="J72" i="1"/>
  <c r="H72" i="1"/>
  <c r="I72" i="1" s="1"/>
  <c r="K44" i="1"/>
  <c r="H44" i="1"/>
  <c r="I44" i="1" s="1"/>
  <c r="N341" i="1"/>
  <c r="M341" i="1"/>
  <c r="L341" i="1"/>
  <c r="N327" i="1"/>
  <c r="L327" i="1"/>
  <c r="N313" i="1"/>
  <c r="L313" i="1"/>
  <c r="M313" i="1"/>
  <c r="N299" i="1"/>
  <c r="M299" i="1"/>
  <c r="L299" i="1"/>
  <c r="N285" i="1"/>
  <c r="L285" i="1"/>
  <c r="M285" i="1"/>
  <c r="N257" i="1"/>
  <c r="L257" i="1"/>
  <c r="M257" i="1"/>
  <c r="N243" i="1"/>
  <c r="M243" i="1"/>
  <c r="L243" i="1"/>
  <c r="N229" i="1"/>
  <c r="L229" i="1"/>
  <c r="M229" i="1"/>
  <c r="N201" i="1"/>
  <c r="M201" i="1"/>
  <c r="L201" i="1"/>
  <c r="N187" i="1"/>
  <c r="L187" i="1"/>
  <c r="N173" i="1"/>
  <c r="M173" i="1"/>
  <c r="L173" i="1"/>
  <c r="N159" i="1"/>
  <c r="M159" i="1"/>
  <c r="N145" i="1"/>
  <c r="M145" i="1"/>
  <c r="L145" i="1"/>
  <c r="N131" i="1"/>
  <c r="L131" i="1"/>
  <c r="N117" i="1"/>
  <c r="L117" i="1"/>
  <c r="M117" i="1"/>
  <c r="N103" i="1"/>
  <c r="M103" i="1"/>
  <c r="L103" i="1"/>
  <c r="N89" i="1"/>
  <c r="M89" i="1"/>
  <c r="N75" i="1"/>
  <c r="M75" i="1"/>
  <c r="L75" i="1"/>
  <c r="N61" i="1"/>
  <c r="L61" i="1"/>
  <c r="M61" i="1"/>
  <c r="N47" i="1"/>
  <c r="M47" i="1"/>
  <c r="L47" i="1"/>
  <c r="N19" i="1"/>
  <c r="L19" i="1"/>
  <c r="M19" i="1"/>
  <c r="N5" i="1"/>
  <c r="M5" i="1"/>
  <c r="L5" i="1"/>
  <c r="H323" i="1"/>
  <c r="I323" i="1" s="1"/>
  <c r="J276" i="1"/>
  <c r="J220" i="1"/>
  <c r="J164" i="1"/>
  <c r="J108" i="1"/>
  <c r="J80" i="1"/>
  <c r="K268" i="1"/>
  <c r="K225" i="1"/>
  <c r="L100" i="1"/>
  <c r="M188" i="1"/>
  <c r="M119" i="1"/>
  <c r="N251" i="1"/>
  <c r="J351" i="1"/>
  <c r="K351" i="1"/>
  <c r="J337" i="1"/>
  <c r="H337" i="1"/>
  <c r="I337" i="1" s="1"/>
  <c r="J309" i="1"/>
  <c r="H309" i="1"/>
  <c r="I309" i="1" s="1"/>
  <c r="J295" i="1"/>
  <c r="K295" i="1"/>
  <c r="J239" i="1"/>
  <c r="H239" i="1"/>
  <c r="I239" i="1" s="1"/>
  <c r="J211" i="1"/>
  <c r="K211" i="1"/>
  <c r="H211" i="1"/>
  <c r="I211" i="1" s="1"/>
  <c r="J183" i="1"/>
  <c r="K183" i="1"/>
  <c r="K169" i="1"/>
  <c r="J169" i="1"/>
  <c r="J155" i="1"/>
  <c r="K155" i="1"/>
  <c r="J141" i="1"/>
  <c r="H141" i="1"/>
  <c r="I141" i="1" s="1"/>
  <c r="J127" i="1"/>
  <c r="K127" i="1"/>
  <c r="J113" i="1"/>
  <c r="K113" i="1"/>
  <c r="H113" i="1"/>
  <c r="I113" i="1" s="1"/>
  <c r="J85" i="1"/>
  <c r="K85" i="1"/>
  <c r="J71" i="1"/>
  <c r="K71" i="1"/>
  <c r="K43" i="1"/>
  <c r="H43" i="1"/>
  <c r="I43" i="1" s="1"/>
  <c r="K15" i="1"/>
  <c r="H15" i="1"/>
  <c r="I15" i="1" s="1"/>
  <c r="N354" i="1"/>
  <c r="M354" i="1"/>
  <c r="N340" i="1"/>
  <c r="M340" i="1"/>
  <c r="L340" i="1"/>
  <c r="N326" i="1"/>
  <c r="M326" i="1"/>
  <c r="L326" i="1"/>
  <c r="N312" i="1"/>
  <c r="M312" i="1"/>
  <c r="L312" i="1"/>
  <c r="N298" i="1"/>
  <c r="M298" i="1"/>
  <c r="L298" i="1"/>
  <c r="N284" i="1"/>
  <c r="M284" i="1"/>
  <c r="L284" i="1"/>
  <c r="N270" i="1"/>
  <c r="M270" i="1"/>
  <c r="N256" i="1"/>
  <c r="M256" i="1"/>
  <c r="L256" i="1"/>
  <c r="N242" i="1"/>
  <c r="M242" i="1"/>
  <c r="L242" i="1"/>
  <c r="N228" i="1"/>
  <c r="M228" i="1"/>
  <c r="L228" i="1"/>
  <c r="N214" i="1"/>
  <c r="M214" i="1"/>
  <c r="L214" i="1"/>
  <c r="N200" i="1"/>
  <c r="M200" i="1"/>
  <c r="L200" i="1"/>
  <c r="N186" i="1"/>
  <c r="M186" i="1"/>
  <c r="N172" i="1"/>
  <c r="M172" i="1"/>
  <c r="L172" i="1"/>
  <c r="N158" i="1"/>
  <c r="M158" i="1"/>
  <c r="L158" i="1"/>
  <c r="N144" i="1"/>
  <c r="M144" i="1"/>
  <c r="L144" i="1"/>
  <c r="N130" i="1"/>
  <c r="M130" i="1"/>
  <c r="L130" i="1"/>
  <c r="N116" i="1"/>
  <c r="M116" i="1"/>
  <c r="L116" i="1"/>
  <c r="N102" i="1"/>
  <c r="M102" i="1"/>
  <c r="L102" i="1"/>
  <c r="N88" i="1"/>
  <c r="M88" i="1"/>
  <c r="N74" i="1"/>
  <c r="M74" i="1"/>
  <c r="L74" i="1"/>
  <c r="N60" i="1"/>
  <c r="M60" i="1"/>
  <c r="L60" i="1"/>
  <c r="N46" i="1"/>
  <c r="M46" i="1"/>
  <c r="L46" i="1"/>
  <c r="N32" i="1"/>
  <c r="M32" i="1"/>
  <c r="N18" i="1"/>
  <c r="M18" i="1"/>
  <c r="N4" i="1"/>
  <c r="M4" i="1"/>
  <c r="L4" i="1"/>
  <c r="H226" i="1"/>
  <c r="I226" i="1" s="1"/>
  <c r="H184" i="1"/>
  <c r="I184" i="1" s="1"/>
  <c r="K220" i="1"/>
  <c r="K128" i="1"/>
  <c r="L2" i="1"/>
  <c r="L33" i="1"/>
  <c r="M321" i="1"/>
  <c r="M258" i="1"/>
  <c r="M187" i="1"/>
  <c r="N58" i="1"/>
  <c r="J308" i="1"/>
  <c r="H308" i="1"/>
  <c r="I308" i="1" s="1"/>
  <c r="K210" i="1"/>
  <c r="J210" i="1"/>
  <c r="H210" i="1"/>
  <c r="I210" i="1" s="1"/>
  <c r="K154" i="1"/>
  <c r="J154" i="1"/>
  <c r="K140" i="1"/>
  <c r="H140" i="1"/>
  <c r="I140" i="1" s="1"/>
  <c r="K112" i="1"/>
  <c r="J112" i="1"/>
  <c r="H112" i="1"/>
  <c r="I112" i="1" s="1"/>
  <c r="J98" i="1"/>
  <c r="K98" i="1"/>
  <c r="J56" i="1"/>
  <c r="K56" i="1"/>
  <c r="K42" i="1"/>
  <c r="H42" i="1"/>
  <c r="I42" i="1" s="1"/>
  <c r="K14" i="1"/>
  <c r="H14" i="1"/>
  <c r="I14" i="1" s="1"/>
  <c r="M339" i="1"/>
  <c r="L339" i="1"/>
  <c r="N339" i="1"/>
  <c r="M325" i="1"/>
  <c r="L325" i="1"/>
  <c r="M311" i="1"/>
  <c r="L311" i="1"/>
  <c r="M297" i="1"/>
  <c r="N297" i="1"/>
  <c r="L297" i="1"/>
  <c r="M283" i="1"/>
  <c r="L283" i="1"/>
  <c r="M269" i="1"/>
  <c r="N269" i="1"/>
  <c r="L269" i="1"/>
  <c r="M255" i="1"/>
  <c r="L255" i="1"/>
  <c r="M241" i="1"/>
  <c r="L241" i="1"/>
  <c r="N241" i="1"/>
  <c r="M227" i="1"/>
  <c r="N227" i="1"/>
  <c r="M213" i="1"/>
  <c r="N213" i="1"/>
  <c r="L213" i="1"/>
  <c r="M199" i="1"/>
  <c r="N199" i="1"/>
  <c r="L199" i="1"/>
  <c r="M185" i="1"/>
  <c r="L185" i="1"/>
  <c r="N185" i="1"/>
  <c r="M171" i="1"/>
  <c r="N171" i="1"/>
  <c r="M157" i="1"/>
  <c r="N157" i="1"/>
  <c r="L157" i="1"/>
  <c r="M143" i="1"/>
  <c r="L143" i="1"/>
  <c r="N143" i="1"/>
  <c r="M129" i="1"/>
  <c r="N129" i="1"/>
  <c r="M115" i="1"/>
  <c r="N115" i="1"/>
  <c r="M101" i="1"/>
  <c r="L101" i="1"/>
  <c r="M87" i="1"/>
  <c r="L87" i="1"/>
  <c r="M73" i="1"/>
  <c r="N73" i="1"/>
  <c r="L73" i="1"/>
  <c r="M59" i="1"/>
  <c r="N59" i="1"/>
  <c r="L59" i="1"/>
  <c r="M45" i="1"/>
  <c r="L45" i="1"/>
  <c r="N45" i="1"/>
  <c r="M31" i="1"/>
  <c r="N31" i="1"/>
  <c r="L31" i="1"/>
  <c r="M17" i="1"/>
  <c r="N17" i="1"/>
  <c r="N3" i="1"/>
  <c r="M3" i="1"/>
  <c r="H321" i="1"/>
  <c r="I321" i="1" s="1"/>
  <c r="H225" i="1"/>
  <c r="I225" i="1" s="1"/>
  <c r="H183" i="1"/>
  <c r="I183" i="1" s="1"/>
  <c r="H137" i="1"/>
  <c r="I137" i="1" s="1"/>
  <c r="J266" i="1"/>
  <c r="J45" i="1"/>
  <c r="J16" i="1"/>
  <c r="K72" i="1"/>
  <c r="L354" i="1"/>
  <c r="L32" i="1"/>
  <c r="M315" i="1"/>
  <c r="M245" i="1"/>
  <c r="M33" i="1"/>
  <c r="J267" i="1"/>
  <c r="K267" i="1"/>
  <c r="K349" i="1"/>
  <c r="J349" i="1"/>
  <c r="J307" i="1"/>
  <c r="H307" i="1"/>
  <c r="I307" i="1" s="1"/>
  <c r="H279" i="1"/>
  <c r="I279" i="1" s="1"/>
  <c r="K279" i="1"/>
  <c r="K251" i="1"/>
  <c r="J251" i="1"/>
  <c r="K209" i="1"/>
  <c r="J209" i="1"/>
  <c r="H209" i="1"/>
  <c r="I209" i="1" s="1"/>
  <c r="K181" i="1"/>
  <c r="H181" i="1"/>
  <c r="I181" i="1" s="1"/>
  <c r="K153" i="1"/>
  <c r="J153" i="1"/>
  <c r="K111" i="1"/>
  <c r="J111" i="1"/>
  <c r="H111" i="1"/>
  <c r="I111" i="1" s="1"/>
  <c r="J83" i="1"/>
  <c r="H83" i="1"/>
  <c r="I83" i="1" s="1"/>
  <c r="J69" i="1"/>
  <c r="K69" i="1"/>
  <c r="J55" i="1"/>
  <c r="K55" i="1"/>
  <c r="K41" i="1"/>
  <c r="J41" i="1"/>
  <c r="K13" i="1"/>
  <c r="H13" i="1"/>
  <c r="I13" i="1" s="1"/>
  <c r="J13" i="1"/>
  <c r="M338" i="1"/>
  <c r="L338" i="1"/>
  <c r="N338" i="1"/>
  <c r="M324" i="1"/>
  <c r="L324" i="1"/>
  <c r="N324" i="1"/>
  <c r="M310" i="1"/>
  <c r="L310" i="1"/>
  <c r="M296" i="1"/>
  <c r="N296" i="1"/>
  <c r="M282" i="1"/>
  <c r="L282" i="1"/>
  <c r="N282" i="1"/>
  <c r="M268" i="1"/>
  <c r="N268" i="1"/>
  <c r="M254" i="1"/>
  <c r="L254" i="1"/>
  <c r="M240" i="1"/>
  <c r="L240" i="1"/>
  <c r="N240" i="1"/>
  <c r="M226" i="1"/>
  <c r="N226" i="1"/>
  <c r="M212" i="1"/>
  <c r="N212" i="1"/>
  <c r="M198" i="1"/>
  <c r="N198" i="1"/>
  <c r="L198" i="1"/>
  <c r="M184" i="1"/>
  <c r="L184" i="1"/>
  <c r="N184" i="1"/>
  <c r="M170" i="1"/>
  <c r="N170" i="1"/>
  <c r="L170" i="1"/>
  <c r="M156" i="1"/>
  <c r="L156" i="1"/>
  <c r="M142" i="1"/>
  <c r="L142" i="1"/>
  <c r="M128" i="1"/>
  <c r="N128" i="1"/>
  <c r="M114" i="1"/>
  <c r="N114" i="1"/>
  <c r="L114" i="1"/>
  <c r="M86" i="1"/>
  <c r="L86" i="1"/>
  <c r="N86" i="1"/>
  <c r="M72" i="1"/>
  <c r="N72" i="1"/>
  <c r="L72" i="1"/>
  <c r="M44" i="1"/>
  <c r="L44" i="1"/>
  <c r="N44" i="1"/>
  <c r="M30" i="1"/>
  <c r="N30" i="1"/>
  <c r="L30" i="1"/>
  <c r="M16" i="1"/>
  <c r="N16" i="1"/>
  <c r="H352" i="1"/>
  <c r="I352" i="1" s="1"/>
  <c r="H320" i="1"/>
  <c r="I320" i="1" s="1"/>
  <c r="H266" i="1"/>
  <c r="I266" i="1" s="1"/>
  <c r="H224" i="1"/>
  <c r="I224" i="1" s="1"/>
  <c r="H182" i="1"/>
  <c r="I182" i="1" s="1"/>
  <c r="H128" i="1"/>
  <c r="I128" i="1" s="1"/>
  <c r="H86" i="1"/>
  <c r="I86" i="1" s="1"/>
  <c r="J321" i="1"/>
  <c r="J265" i="1"/>
  <c r="J44" i="1"/>
  <c r="J15" i="1"/>
  <c r="K213" i="1"/>
  <c r="K164" i="1"/>
  <c r="K116" i="1"/>
  <c r="K70" i="1"/>
  <c r="L353" i="1"/>
  <c r="L217" i="1"/>
  <c r="L159" i="1"/>
  <c r="L89" i="1"/>
  <c r="L18" i="1"/>
  <c r="M314" i="1"/>
  <c r="M175" i="1"/>
  <c r="N142" i="1"/>
  <c r="J281" i="1"/>
  <c r="K281" i="1"/>
  <c r="K348" i="1"/>
  <c r="J348" i="1"/>
  <c r="K306" i="1"/>
  <c r="H306" i="1"/>
  <c r="I306" i="1" s="1"/>
  <c r="K292" i="1"/>
  <c r="J292" i="1"/>
  <c r="K278" i="1"/>
  <c r="H278" i="1"/>
  <c r="I278" i="1" s="1"/>
  <c r="K250" i="1"/>
  <c r="J250" i="1"/>
  <c r="K208" i="1"/>
  <c r="H208" i="1"/>
  <c r="I208" i="1" s="1"/>
  <c r="K194" i="1"/>
  <c r="J194" i="1"/>
  <c r="K180" i="1"/>
  <c r="H180" i="1"/>
  <c r="I180" i="1" s="1"/>
  <c r="K152" i="1"/>
  <c r="J152" i="1"/>
  <c r="K110" i="1"/>
  <c r="H110" i="1"/>
  <c r="I110" i="1" s="1"/>
  <c r="K82" i="1"/>
  <c r="H82" i="1"/>
  <c r="I82" i="1" s="1"/>
  <c r="K68" i="1"/>
  <c r="J68" i="1"/>
  <c r="K54" i="1"/>
  <c r="J54" i="1"/>
  <c r="K40" i="1"/>
  <c r="J40" i="1"/>
  <c r="K26" i="1"/>
  <c r="J26" i="1"/>
  <c r="K12" i="1"/>
  <c r="H12" i="1"/>
  <c r="I12" i="1" s="1"/>
  <c r="J12" i="1"/>
  <c r="M351" i="1"/>
  <c r="L351" i="1"/>
  <c r="M337" i="1"/>
  <c r="L337" i="1"/>
  <c r="N337" i="1"/>
  <c r="M323" i="1"/>
  <c r="L323" i="1"/>
  <c r="N323" i="1"/>
  <c r="M309" i="1"/>
  <c r="L309" i="1"/>
  <c r="M295" i="1"/>
  <c r="L295" i="1"/>
  <c r="M281" i="1"/>
  <c r="L281" i="1"/>
  <c r="N281" i="1"/>
  <c r="M267" i="1"/>
  <c r="L267" i="1"/>
  <c r="N267" i="1"/>
  <c r="M253" i="1"/>
  <c r="L253" i="1"/>
  <c r="N253" i="1"/>
  <c r="M239" i="1"/>
  <c r="L239" i="1"/>
  <c r="N239" i="1"/>
  <c r="M225" i="1"/>
  <c r="L225" i="1"/>
  <c r="N225" i="1"/>
  <c r="M211" i="1"/>
  <c r="L211" i="1"/>
  <c r="N211" i="1"/>
  <c r="M197" i="1"/>
  <c r="L197" i="1"/>
  <c r="M183" i="1"/>
  <c r="L183" i="1"/>
  <c r="N183" i="1"/>
  <c r="M169" i="1"/>
  <c r="L169" i="1"/>
  <c r="M155" i="1"/>
  <c r="L155" i="1"/>
  <c r="M141" i="1"/>
  <c r="L141" i="1"/>
  <c r="N141" i="1"/>
  <c r="M127" i="1"/>
  <c r="L127" i="1"/>
  <c r="N127" i="1"/>
  <c r="M113" i="1"/>
  <c r="L113" i="1"/>
  <c r="N113" i="1"/>
  <c r="M99" i="1"/>
  <c r="L99" i="1"/>
  <c r="N99" i="1"/>
  <c r="M85" i="1"/>
  <c r="L85" i="1"/>
  <c r="N85" i="1"/>
  <c r="M71" i="1"/>
  <c r="L71" i="1"/>
  <c r="N71" i="1"/>
  <c r="M57" i="1"/>
  <c r="L57" i="1"/>
  <c r="M43" i="1"/>
  <c r="L43" i="1"/>
  <c r="N43" i="1"/>
  <c r="M29" i="1"/>
  <c r="L29" i="1"/>
  <c r="N29" i="1"/>
  <c r="M15" i="1"/>
  <c r="L15" i="1"/>
  <c r="N15" i="1"/>
  <c r="H351" i="1"/>
  <c r="I351" i="1" s="1"/>
  <c r="H319" i="1"/>
  <c r="I319" i="1" s="1"/>
  <c r="H265" i="1"/>
  <c r="I265" i="1" s="1"/>
  <c r="H223" i="1"/>
  <c r="I223" i="1" s="1"/>
  <c r="H169" i="1"/>
  <c r="I169" i="1" s="1"/>
  <c r="H127" i="1"/>
  <c r="I127" i="1" s="1"/>
  <c r="H85" i="1"/>
  <c r="I85" i="1" s="1"/>
  <c r="J320" i="1"/>
  <c r="J294" i="1"/>
  <c r="J264" i="1"/>
  <c r="J238" i="1"/>
  <c r="J208" i="1"/>
  <c r="J182" i="1"/>
  <c r="J126" i="1"/>
  <c r="J67" i="1"/>
  <c r="J43" i="1"/>
  <c r="J14" i="1"/>
  <c r="K115" i="1"/>
  <c r="L352" i="1"/>
  <c r="L216" i="1"/>
  <c r="L88" i="1"/>
  <c r="L17" i="1"/>
  <c r="M174" i="1"/>
  <c r="M27" i="1"/>
  <c r="N294" i="1"/>
  <c r="K347" i="1"/>
  <c r="J347" i="1"/>
  <c r="K291" i="1"/>
  <c r="J291" i="1"/>
  <c r="K277" i="1"/>
  <c r="H277" i="1"/>
  <c r="I277" i="1" s="1"/>
  <c r="K249" i="1"/>
  <c r="J249" i="1"/>
  <c r="H249" i="1"/>
  <c r="I249" i="1" s="1"/>
  <c r="K193" i="1"/>
  <c r="J193" i="1"/>
  <c r="K179" i="1"/>
  <c r="H179" i="1"/>
  <c r="I179" i="1" s="1"/>
  <c r="K151" i="1"/>
  <c r="J151" i="1"/>
  <c r="H151" i="1"/>
  <c r="I151" i="1" s="1"/>
  <c r="K95" i="1"/>
  <c r="J95" i="1"/>
  <c r="K81" i="1"/>
  <c r="H81" i="1"/>
  <c r="I81" i="1" s="1"/>
  <c r="K53" i="1"/>
  <c r="J53" i="1"/>
  <c r="H53" i="1"/>
  <c r="I53" i="1" s="1"/>
  <c r="K39" i="1"/>
  <c r="J39" i="1"/>
  <c r="K25" i="1"/>
  <c r="J25" i="1"/>
  <c r="K11" i="1"/>
  <c r="J11" i="1"/>
  <c r="L336" i="1"/>
  <c r="N336" i="1"/>
  <c r="M336" i="1"/>
  <c r="L322" i="1"/>
  <c r="N322" i="1"/>
  <c r="L308" i="1"/>
  <c r="N308" i="1"/>
  <c r="M308" i="1"/>
  <c r="L280" i="1"/>
  <c r="N280" i="1"/>
  <c r="M280" i="1"/>
  <c r="L266" i="1"/>
  <c r="N266" i="1"/>
  <c r="M266" i="1"/>
  <c r="L252" i="1"/>
  <c r="M252" i="1"/>
  <c r="L238" i="1"/>
  <c r="N238" i="1"/>
  <c r="M238" i="1"/>
  <c r="L224" i="1"/>
  <c r="M224" i="1"/>
  <c r="N224" i="1"/>
  <c r="L210" i="1"/>
  <c r="N210" i="1"/>
  <c r="M210" i="1"/>
  <c r="L196" i="1"/>
  <c r="N196" i="1"/>
  <c r="L182" i="1"/>
  <c r="N182" i="1"/>
  <c r="M182" i="1"/>
  <c r="L154" i="1"/>
  <c r="M154" i="1"/>
  <c r="L140" i="1"/>
  <c r="M140" i="1"/>
  <c r="N140" i="1"/>
  <c r="L126" i="1"/>
  <c r="N126" i="1"/>
  <c r="M126" i="1"/>
  <c r="L112" i="1"/>
  <c r="N112" i="1"/>
  <c r="M112" i="1"/>
  <c r="L98" i="1"/>
  <c r="N98" i="1"/>
  <c r="M98" i="1"/>
  <c r="L84" i="1"/>
  <c r="M84" i="1"/>
  <c r="N84" i="1"/>
  <c r="L70" i="1"/>
  <c r="M70" i="1"/>
  <c r="N70" i="1"/>
  <c r="L56" i="1"/>
  <c r="M56" i="1"/>
  <c r="L42" i="1"/>
  <c r="M42" i="1"/>
  <c r="L28" i="1"/>
  <c r="N28" i="1"/>
  <c r="L14" i="1"/>
  <c r="N14" i="1"/>
  <c r="M14" i="1"/>
  <c r="H350" i="1"/>
  <c r="I350" i="1" s="1"/>
  <c r="H310" i="1"/>
  <c r="I310" i="1" s="1"/>
  <c r="H264" i="1"/>
  <c r="I264" i="1" s="1"/>
  <c r="H222" i="1"/>
  <c r="I222" i="1" s="1"/>
  <c r="H168" i="1"/>
  <c r="I168" i="1" s="1"/>
  <c r="H126" i="1"/>
  <c r="I126" i="1" s="1"/>
  <c r="H84" i="1"/>
  <c r="I84" i="1" s="1"/>
  <c r="H30" i="1"/>
  <c r="I30" i="1" s="1"/>
  <c r="J319" i="1"/>
  <c r="J293" i="1"/>
  <c r="J263" i="1"/>
  <c r="J237" i="1"/>
  <c r="J207" i="1"/>
  <c r="J181" i="1"/>
  <c r="J125" i="1"/>
  <c r="J102" i="1"/>
  <c r="J66" i="1"/>
  <c r="J42" i="1"/>
  <c r="J4" i="1"/>
  <c r="K326" i="1"/>
  <c r="K255" i="1"/>
  <c r="K114" i="1"/>
  <c r="L272" i="1"/>
  <c r="L215" i="1"/>
  <c r="L16" i="1"/>
  <c r="M168" i="1"/>
  <c r="M91" i="1"/>
  <c r="N353" i="1"/>
  <c r="N293" i="1"/>
  <c r="N8" i="1"/>
  <c r="M8" i="1"/>
  <c r="L8" i="1"/>
</calcChain>
</file>

<file path=xl/sharedStrings.xml><?xml version="1.0" encoding="utf-8"?>
<sst xmlns="http://schemas.openxmlformats.org/spreadsheetml/2006/main" count="1480" uniqueCount="1183">
  <si>
    <t>SA26E</t>
  </si>
  <si>
    <t>SA26W</t>
  </si>
  <si>
    <t>SA26W_2</t>
  </si>
  <si>
    <t>SA27M</t>
  </si>
  <si>
    <t>SA27M_2</t>
  </si>
  <si>
    <t>SA28</t>
  </si>
  <si>
    <t>SA29</t>
  </si>
  <si>
    <t>SA30M</t>
  </si>
  <si>
    <t>SA31</t>
  </si>
  <si>
    <t>SA32</t>
  </si>
  <si>
    <t>SA33</t>
  </si>
  <si>
    <t>SA34</t>
  </si>
  <si>
    <t>SA35</t>
  </si>
  <si>
    <t>SA36</t>
  </si>
  <si>
    <t>SA37</t>
  </si>
  <si>
    <t>SA38</t>
  </si>
  <si>
    <t>SA38_2</t>
  </si>
  <si>
    <t>SA39</t>
  </si>
  <si>
    <t>SA40</t>
  </si>
  <si>
    <t>SA40_2</t>
  </si>
  <si>
    <t>SA41</t>
  </si>
  <si>
    <t>SA42</t>
  </si>
  <si>
    <t>SA43</t>
  </si>
  <si>
    <t>SA44</t>
  </si>
  <si>
    <t>SA45</t>
  </si>
  <si>
    <t>SA46</t>
  </si>
  <si>
    <t>SA48</t>
  </si>
  <si>
    <t>SA49</t>
  </si>
  <si>
    <t>SA50</t>
  </si>
  <si>
    <t>SA51</t>
  </si>
  <si>
    <t>SA52</t>
  </si>
  <si>
    <t>SA53</t>
  </si>
  <si>
    <t>SA56</t>
  </si>
  <si>
    <t>SA58</t>
  </si>
  <si>
    <t>SA59</t>
  </si>
  <si>
    <t>SA60</t>
  </si>
  <si>
    <t>SA61</t>
  </si>
  <si>
    <t>SA61_2</t>
  </si>
  <si>
    <t>SA62</t>
  </si>
  <si>
    <t>SA63_2</t>
  </si>
  <si>
    <t>SA64</t>
  </si>
  <si>
    <t>SA65</t>
  </si>
  <si>
    <t>SA67</t>
  </si>
  <si>
    <t>SA68</t>
  </si>
  <si>
    <t>SA70</t>
  </si>
  <si>
    <t>SA71</t>
  </si>
  <si>
    <t>SA176</t>
  </si>
  <si>
    <t>SA177</t>
  </si>
  <si>
    <t>SA178</t>
  </si>
  <si>
    <t>SA178_2</t>
  </si>
  <si>
    <t>SA179</t>
  </si>
  <si>
    <t>SA180</t>
  </si>
  <si>
    <t>SA181</t>
  </si>
  <si>
    <t>SA182</t>
  </si>
  <si>
    <t>SA183</t>
  </si>
  <si>
    <t>SA184</t>
  </si>
  <si>
    <t>station</t>
  </si>
  <si>
    <t>lat</t>
  </si>
  <si>
    <t>lon</t>
  </si>
  <si>
    <t>SA57_2</t>
  </si>
  <si>
    <t>Altitude (km)</t>
  </si>
  <si>
    <t>Altitude (m)</t>
  </si>
  <si>
    <t>2015-10-17T00:00:00.000000+00:00</t>
  </si>
  <si>
    <t>2015-11-15T00:00:00.000000+00:00</t>
  </si>
  <si>
    <t>2015-10-15T00:00:00.000000+00:00</t>
  </si>
  <si>
    <t>2015-10-19T00:00:00.000000+00:00</t>
  </si>
  <si>
    <t>2015-10-20T00:00:00.000000+00:00</t>
  </si>
  <si>
    <t>Date (Full)</t>
  </si>
  <si>
    <t>Date (Website)</t>
  </si>
  <si>
    <t>FR07</t>
  </si>
  <si>
    <t>FR08</t>
  </si>
  <si>
    <t>FR11</t>
  </si>
  <si>
    <t>FR16</t>
  </si>
  <si>
    <t>FR17</t>
  </si>
  <si>
    <t>FR19</t>
  </si>
  <si>
    <t>FR21</t>
  </si>
  <si>
    <t>FR22</t>
  </si>
  <si>
    <t>FR23</t>
  </si>
  <si>
    <t>FR24</t>
  </si>
  <si>
    <t>FR25</t>
  </si>
  <si>
    <t>FR27</t>
  </si>
  <si>
    <t>FR28</t>
  </si>
  <si>
    <t>FR29</t>
  </si>
  <si>
    <t>FR30</t>
  </si>
  <si>
    <t>2015-10-17T08:00:00.000000+00:00</t>
  </si>
  <si>
    <t>2015-10-16T00:00:00.000000+00:00</t>
  </si>
  <si>
    <t>2017-08-17T00:00:00.000000+00:00</t>
  </si>
  <si>
    <t>2015-11-16T00:00:00.000000+00:00</t>
  </si>
  <si>
    <t>2015-09-20T00:00:00.000000+00:00</t>
  </si>
  <si>
    <t>2015-10-21T00:00:00.000000+00:00</t>
  </si>
  <si>
    <t>2015-09-19T00:00:00.000000+00:00</t>
  </si>
  <si>
    <t>2015-09-21T00:00:00.000000+00:00</t>
  </si>
  <si>
    <t>2015-10-22T00:00:00.000000+00:00</t>
  </si>
  <si>
    <t>2015-09-17T00:00:00.000000+00:00</t>
  </si>
  <si>
    <t>2015-11-13T00:00:00.000000+00:00</t>
  </si>
  <si>
    <t>2015-11-18T00:00:00.000000+00:00</t>
  </si>
  <si>
    <t>2015-09-18T00:00:00.000000+00:00</t>
  </si>
  <si>
    <t>2015-12-07T01:00:00.000000+00:00</t>
  </si>
  <si>
    <t>2013-10-14T00:00:00.000000+00:00</t>
  </si>
  <si>
    <t>2013-09-22T00:00:00.000000+00:00</t>
  </si>
  <si>
    <t>2013-10-13T00:00:00.000000+00:00</t>
  </si>
  <si>
    <t>2013-10-16T00:00:00.000000+00:00</t>
  </si>
  <si>
    <t>2013-09-23T00:00:00.000000+00:00</t>
  </si>
  <si>
    <t>2013-10-15T00:00:00.000000+00:00</t>
  </si>
  <si>
    <t>2013-10-17T00:00:00.000000+00:00</t>
  </si>
  <si>
    <t>2013-09-21T00:00:00.000000+00:00</t>
  </si>
  <si>
    <t>2013-09-20T00:00:00.000000+00:00</t>
  </si>
  <si>
    <t>FR01</t>
  </si>
  <si>
    <t>FR02</t>
  </si>
  <si>
    <t>FR03</t>
  </si>
  <si>
    <t>FR04</t>
  </si>
  <si>
    <t>FR05</t>
  </si>
  <si>
    <t>FR06</t>
  </si>
  <si>
    <t>FR09</t>
  </si>
  <si>
    <t>FR10</t>
  </si>
  <si>
    <t>FR12</t>
  </si>
  <si>
    <t>FR13</t>
  </si>
  <si>
    <t>FR14</t>
  </si>
  <si>
    <t>FR15</t>
  </si>
  <si>
    <t>FR18</t>
  </si>
  <si>
    <t>FR20</t>
  </si>
  <si>
    <t>NF01</t>
  </si>
  <si>
    <t>NF02</t>
  </si>
  <si>
    <t>NF02_2</t>
  </si>
  <si>
    <t>NF03</t>
  </si>
  <si>
    <t>NF04</t>
  </si>
  <si>
    <t>NF05_2</t>
  </si>
  <si>
    <t>NF06</t>
  </si>
  <si>
    <t>NF07</t>
  </si>
  <si>
    <t>NF08</t>
  </si>
  <si>
    <t>NF09</t>
  </si>
  <si>
    <t>NF10</t>
  </si>
  <si>
    <t>NF11</t>
  </si>
  <si>
    <t>NF12</t>
  </si>
  <si>
    <t>NF13</t>
  </si>
  <si>
    <t>NF13_2</t>
  </si>
  <si>
    <t>NF16</t>
  </si>
  <si>
    <t>NF17</t>
  </si>
  <si>
    <t>NF18_2</t>
  </si>
  <si>
    <t>NF20</t>
  </si>
  <si>
    <t>NF21</t>
  </si>
  <si>
    <t>NF22</t>
  </si>
  <si>
    <t>NF24</t>
  </si>
  <si>
    <t>NF25</t>
  </si>
  <si>
    <t>NF26</t>
  </si>
  <si>
    <t>NF27</t>
  </si>
  <si>
    <t>NF28</t>
  </si>
  <si>
    <t>NF29</t>
  </si>
  <si>
    <t>NF30</t>
  </si>
  <si>
    <t>NF31</t>
  </si>
  <si>
    <t>NF32</t>
  </si>
  <si>
    <t>NF34</t>
  </si>
  <si>
    <t>NF35</t>
  </si>
  <si>
    <t>NF36</t>
  </si>
  <si>
    <t>NF38</t>
  </si>
  <si>
    <t>NF39</t>
  </si>
  <si>
    <t>NF40</t>
  </si>
  <si>
    <t>NF41_2</t>
  </si>
  <si>
    <t>NF43</t>
  </si>
  <si>
    <t>NF44</t>
  </si>
  <si>
    <t>NF45</t>
  </si>
  <si>
    <t>NF46</t>
  </si>
  <si>
    <t>NF46_2A</t>
  </si>
  <si>
    <t>NF47</t>
  </si>
  <si>
    <t>2015-06-11T00:00:00.000000+00:00</t>
  </si>
  <si>
    <t>2015-06-12T00:00:00.000000+00:00</t>
  </si>
  <si>
    <t>2017-03-20T00:00:00.000000+00:00</t>
  </si>
  <si>
    <t>2015-06-15T00:00:00.000000+00:00</t>
  </si>
  <si>
    <t>2015-07-30T00:00:00.000000+00:00</t>
  </si>
  <si>
    <t>2015-06-16T00:00:00.000000+00:00</t>
  </si>
  <si>
    <t>2015-07-06T00:00:00.000000+00:00</t>
  </si>
  <si>
    <t>2017-06-30T00:00:00.000000+00:00</t>
  </si>
  <si>
    <t>2015-06-17T00:00:00.000000+00:00</t>
  </si>
  <si>
    <t>2015-07-05T00:00:00.000000+00:00</t>
  </si>
  <si>
    <t>2015-07-31T00:00:00.000000+00:00</t>
  </si>
  <si>
    <t>2015-07-08T00:00:00.000000+00:00</t>
  </si>
  <si>
    <t>2015-07-09T00:00:00.000000+00:00</t>
  </si>
  <si>
    <t>2015-07-04T00:00:00.000000+00:00</t>
  </si>
  <si>
    <t>2015-06-19T00:00:00.000000+00:00</t>
  </si>
  <si>
    <t>2015-07-07T00:00:00.000000+00:00</t>
  </si>
  <si>
    <t>2015-07-10T00:00:00.000000+00:00</t>
  </si>
  <si>
    <t>2015-07-03T00:00:00.000000+00:00</t>
  </si>
  <si>
    <t>2015-06-24T00:00:00.000000+00:00</t>
  </si>
  <si>
    <t>2015-08-02T00:00:00.000000+00:00</t>
  </si>
  <si>
    <t>2015-07-16T00:00:00.000000+00:00</t>
  </si>
  <si>
    <t>2017-06-29T00:00:00.000000+00:00</t>
  </si>
  <si>
    <t>2015-08-01T00:00:00.000000+00:00</t>
  </si>
  <si>
    <t>NF05</t>
  </si>
  <si>
    <t>NF14</t>
  </si>
  <si>
    <t>NF15</t>
  </si>
  <si>
    <t>NF18</t>
  </si>
  <si>
    <t>NF19</t>
  </si>
  <si>
    <t>NF23</t>
  </si>
  <si>
    <t>NF33</t>
  </si>
  <si>
    <t>NF37</t>
  </si>
  <si>
    <t>NF41</t>
  </si>
  <si>
    <t>NF42</t>
  </si>
  <si>
    <t>NF46_2B</t>
  </si>
  <si>
    <t>SA66</t>
  </si>
  <si>
    <t>SA69</t>
  </si>
  <si>
    <t>SA72</t>
  </si>
  <si>
    <t>SA74</t>
  </si>
  <si>
    <t>SA75</t>
  </si>
  <si>
    <t>SA76</t>
  </si>
  <si>
    <t>SA77_2</t>
  </si>
  <si>
    <t>SA78</t>
  </si>
  <si>
    <t>SA79</t>
  </si>
  <si>
    <t>SA79_2</t>
  </si>
  <si>
    <t>SA80</t>
  </si>
  <si>
    <t>SA82</t>
  </si>
  <si>
    <t>SA84</t>
  </si>
  <si>
    <t>SA85</t>
  </si>
  <si>
    <t>SA87</t>
  </si>
  <si>
    <t>SA89</t>
  </si>
  <si>
    <t>SA90</t>
  </si>
  <si>
    <t>SA91</t>
  </si>
  <si>
    <t>SA92</t>
  </si>
  <si>
    <t>SA93</t>
  </si>
  <si>
    <t>SA94</t>
  </si>
  <si>
    <t>SA95</t>
  </si>
  <si>
    <t>SA96</t>
  </si>
  <si>
    <t>SA97</t>
  </si>
  <si>
    <t>SA98</t>
  </si>
  <si>
    <t>SA99</t>
  </si>
  <si>
    <t>SA99_2</t>
  </si>
  <si>
    <t>SA100</t>
  </si>
  <si>
    <t>SA102</t>
  </si>
  <si>
    <t>SA103</t>
  </si>
  <si>
    <t>SA105</t>
  </si>
  <si>
    <t>SA105_2</t>
  </si>
  <si>
    <t>SA107</t>
  </si>
  <si>
    <t>SA108</t>
  </si>
  <si>
    <t>SA108_2</t>
  </si>
  <si>
    <t>SA109</t>
  </si>
  <si>
    <t>SA110</t>
  </si>
  <si>
    <t>SA111</t>
  </si>
  <si>
    <t>SA112</t>
  </si>
  <si>
    <t>SA113</t>
  </si>
  <si>
    <t>SA114</t>
  </si>
  <si>
    <t>SA115</t>
  </si>
  <si>
    <t>SA115_2</t>
  </si>
  <si>
    <t>SA116</t>
  </si>
  <si>
    <t>SA117</t>
  </si>
  <si>
    <t>SA120</t>
  </si>
  <si>
    <t>SA121</t>
  </si>
  <si>
    <t>SA122</t>
  </si>
  <si>
    <t>SA123</t>
  </si>
  <si>
    <t>SA123_2</t>
  </si>
  <si>
    <t>SA124</t>
  </si>
  <si>
    <t>2015-02-23T00:00:00.000000+00:00</t>
  </si>
  <si>
    <t>2014-12-12T00:00:00.000000+00:00</t>
  </si>
  <si>
    <t>2014-10-21T00:00:00.000000+00:00</t>
  </si>
  <si>
    <t>2014-10-22T00:00:00.000000+00:00</t>
  </si>
  <si>
    <t>2014-12-15T00:00:00.000000+00:00</t>
  </si>
  <si>
    <t>2015-02-22T00:00:00.000000+00:00</t>
  </si>
  <si>
    <t>2014-10-22T03:00:00.000000+00:00</t>
  </si>
  <si>
    <t>2014-09-16T00:00:00.000000+00:00</t>
  </si>
  <si>
    <t>2014-10-19T00:00:00.000000+00:00</t>
  </si>
  <si>
    <t>2014-10-23T00:00:00.000000+00:00</t>
  </si>
  <si>
    <t>2014-10-20T00:00:00.000000+00:00</t>
  </si>
  <si>
    <t>2015-02-17T00:00:00.000000+00:00</t>
  </si>
  <si>
    <t>2015-02-18T00:00:00.000000+00:00</t>
  </si>
  <si>
    <t>2015-11-19T00:00:00.000000+00:00</t>
  </si>
  <si>
    <t>2014-12-16T00:00:00.000000+00:00</t>
  </si>
  <si>
    <t>2014-12-14T00:00:00.000000+00:00</t>
  </si>
  <si>
    <t>2014-09-19T00:00:00.000000+00:00</t>
  </si>
  <si>
    <t>2014-12-11T00:00:00.000000+00:00</t>
  </si>
  <si>
    <t>2014-10-24T00:00:00.000000+00:00</t>
  </si>
  <si>
    <t>2014-11-13T00:00:00.000000+00:00</t>
  </si>
  <si>
    <t>2014-10-17T00:00:00.000000+00:00</t>
  </si>
  <si>
    <t>2014-10-16T00:00:00.000000+00:00</t>
  </si>
  <si>
    <t>2015-02-19T00:00:00.000000+00:00</t>
  </si>
  <si>
    <t>2003-01-01T00:00:00.000000+00:00</t>
  </si>
  <si>
    <t>2015-02-16T00:00:00.000000+00:00</t>
  </si>
  <si>
    <t>2014-09-20T00:00:00.000000+00:00</t>
  </si>
  <si>
    <t>2014-09-21T00:00:00.000000+00:00</t>
  </si>
  <si>
    <t>SA73</t>
  </si>
  <si>
    <t>SA77</t>
  </si>
  <si>
    <t>SA81</t>
  </si>
  <si>
    <t>SA84_2</t>
  </si>
  <si>
    <t>SA86</t>
  </si>
  <si>
    <t>SA88</t>
  </si>
  <si>
    <t>SA104A</t>
  </si>
  <si>
    <t>SA104B</t>
  </si>
  <si>
    <t>SA104C</t>
  </si>
  <si>
    <t>SA106</t>
  </si>
  <si>
    <t>SA106_2</t>
  </si>
  <si>
    <t>SA107_2</t>
  </si>
  <si>
    <t>SA110_2</t>
  </si>
  <si>
    <t>SA118</t>
  </si>
  <si>
    <t>SA119</t>
  </si>
  <si>
    <t>SA205</t>
  </si>
  <si>
    <t>SA206</t>
  </si>
  <si>
    <t>SA206_2</t>
  </si>
  <si>
    <t>SA207</t>
  </si>
  <si>
    <t>SA208</t>
  </si>
  <si>
    <t>SA208_2</t>
  </si>
  <si>
    <t>SA209</t>
  </si>
  <si>
    <t>SA210A</t>
  </si>
  <si>
    <t>SA210B</t>
  </si>
  <si>
    <t>SA211</t>
  </si>
  <si>
    <t>SA213</t>
  </si>
  <si>
    <t>SA214</t>
  </si>
  <si>
    <t>SA215</t>
  </si>
  <si>
    <t>SA216</t>
  </si>
  <si>
    <t>SA217</t>
  </si>
  <si>
    <t>SA218_2</t>
  </si>
  <si>
    <t>SA219_2</t>
  </si>
  <si>
    <t>SA220</t>
  </si>
  <si>
    <t>SA221</t>
  </si>
  <si>
    <t>SA222</t>
  </si>
  <si>
    <t>SA223</t>
  </si>
  <si>
    <t>SA225</t>
  </si>
  <si>
    <t>SA228</t>
  </si>
  <si>
    <t>SA229</t>
  </si>
  <si>
    <t>SA229_2A</t>
  </si>
  <si>
    <t>SA229_2B</t>
  </si>
  <si>
    <t>SA231</t>
  </si>
  <si>
    <t>SA232</t>
  </si>
  <si>
    <t>SA234</t>
  </si>
  <si>
    <t>SA235</t>
  </si>
  <si>
    <t>SA237</t>
  </si>
  <si>
    <t>SA238</t>
  </si>
  <si>
    <t>SA239</t>
  </si>
  <si>
    <t>SA240_2</t>
  </si>
  <si>
    <t>SA241</t>
  </si>
  <si>
    <t>SA241_2A</t>
  </si>
  <si>
    <t>SA241_2B</t>
  </si>
  <si>
    <t>SA254</t>
  </si>
  <si>
    <t>SA255</t>
  </si>
  <si>
    <t>SA256</t>
  </si>
  <si>
    <t>SA257</t>
  </si>
  <si>
    <t>SA258</t>
  </si>
  <si>
    <t>SA259</t>
  </si>
  <si>
    <t>SA260_2A</t>
  </si>
  <si>
    <t>SA260_2B</t>
  </si>
  <si>
    <t>SA261</t>
  </si>
  <si>
    <t>SA262</t>
  </si>
  <si>
    <t>SA262_2</t>
  </si>
  <si>
    <t>SA263</t>
  </si>
  <si>
    <t>SA278</t>
  </si>
  <si>
    <t>SA279</t>
  </si>
  <si>
    <t>SA280</t>
  </si>
  <si>
    <t>SA281</t>
  </si>
  <si>
    <t>SA282</t>
  </si>
  <si>
    <t>SA283</t>
  </si>
  <si>
    <t>SA284</t>
  </si>
  <si>
    <t>SA285_2A</t>
  </si>
  <si>
    <t>SA285_2B</t>
  </si>
  <si>
    <t>SA287</t>
  </si>
  <si>
    <t>SA288</t>
  </si>
  <si>
    <t>SA289</t>
  </si>
  <si>
    <t>SA292</t>
  </si>
  <si>
    <t>SA293</t>
  </si>
  <si>
    <t>SA303</t>
  </si>
  <si>
    <t>SA304</t>
  </si>
  <si>
    <t>SA305</t>
  </si>
  <si>
    <t>SA306</t>
  </si>
  <si>
    <t>SA307</t>
  </si>
  <si>
    <t>SA308</t>
  </si>
  <si>
    <t>SA308A</t>
  </si>
  <si>
    <t>SA308B</t>
  </si>
  <si>
    <t>SA309</t>
  </si>
  <si>
    <t>SA310A</t>
  </si>
  <si>
    <t>SA310B</t>
  </si>
  <si>
    <t>SA311</t>
  </si>
  <si>
    <t>SA312</t>
  </si>
  <si>
    <t>SA313</t>
  </si>
  <si>
    <t>SA314</t>
  </si>
  <si>
    <t>SA315</t>
  </si>
  <si>
    <t>SA317</t>
  </si>
  <si>
    <t>SA328</t>
  </si>
  <si>
    <t>SA329</t>
  </si>
  <si>
    <t>SA329A</t>
  </si>
  <si>
    <t>SA330</t>
  </si>
  <si>
    <t>SA330A</t>
  </si>
  <si>
    <t>SA332A</t>
  </si>
  <si>
    <t>SA333</t>
  </si>
  <si>
    <t>SA333_2A</t>
  </si>
  <si>
    <t>SA333_2B</t>
  </si>
  <si>
    <t>SA334</t>
  </si>
  <si>
    <t>SA336</t>
  </si>
  <si>
    <t>SA337</t>
  </si>
  <si>
    <t>SA340</t>
  </si>
  <si>
    <t>SA341</t>
  </si>
  <si>
    <t>SA342</t>
  </si>
  <si>
    <t>SA354</t>
  </si>
  <si>
    <t>SA355A</t>
  </si>
  <si>
    <t>SA355B</t>
  </si>
  <si>
    <t>2017-03-16T00:00:00.000000+00:00</t>
  </si>
  <si>
    <t>2017-06-21T00:00:00.000000+00:00</t>
  </si>
  <si>
    <t>2017-03-21T00:00:00.000000+00:00</t>
  </si>
  <si>
    <t>2017-04-24T00:00:00.000000+00:00</t>
  </si>
  <si>
    <t>2017-04-23T00:00:00.000000+00:00</t>
  </si>
  <si>
    <t>2017-06-23T00:00:00.000000+00:00</t>
  </si>
  <si>
    <t>2017-05-17T00:00:00.000000+00:00</t>
  </si>
  <si>
    <t>2016-11-15T00:00:00.000000+00:00</t>
  </si>
  <si>
    <t>2016-11-21T00:00:00.000000+00:00</t>
  </si>
  <si>
    <t>2016-11-14T00:00:00.000000+00:00</t>
  </si>
  <si>
    <t>2016-11-22T00:00:00.000000+00:00</t>
  </si>
  <si>
    <t>2017-03-19T00:00:00.000000+00:00</t>
  </si>
  <si>
    <t>2017-03-17T00:00:00.000000+00:00</t>
  </si>
  <si>
    <t>2016-11-16T00:00:00.000000+00:00</t>
  </si>
  <si>
    <t>2017-05-23T00:00:00.000000+00:00</t>
  </si>
  <si>
    <t>2018-04-10T00:00:00.000000+00:00</t>
  </si>
  <si>
    <t>2017-04-22T00:00:00.000000+00:00</t>
  </si>
  <si>
    <t>2017-06-18T00:00:00.000000+00:00</t>
  </si>
  <si>
    <t>2017-06-19T00:00:00.000000+00:00</t>
  </si>
  <si>
    <t>2017-05-21T00:00:00.000000+00:00</t>
  </si>
  <si>
    <t>2016-11-20T00:00:00.000000+00:00</t>
  </si>
  <si>
    <t>2016-11-17T00:00:00.000000+00:00</t>
  </si>
  <si>
    <t>2016-06-28T00:00:00.000000+00:00</t>
  </si>
  <si>
    <t>2017-03-18T00:00:00.000000+00:00</t>
  </si>
  <si>
    <t>2017-05-20T00:00:00.000000+00:00</t>
  </si>
  <si>
    <t>2017-06-20T00:00:00.000000+00:00</t>
  </si>
  <si>
    <t>2017-05-19T00:00:00.000000+00:00</t>
  </si>
  <si>
    <t>2017-05-13T00:00:00.000000+00:00</t>
  </si>
  <si>
    <t>2017-05-22T00:00:00.000000+00:00</t>
  </si>
  <si>
    <t>2016-09-25T00:00:00.000000+00:00</t>
  </si>
  <si>
    <t>2016-11-19T00:00:00.000000+00:00</t>
  </si>
  <si>
    <t>2017-06-22T00:00:00.000000+00:00</t>
  </si>
  <si>
    <t>2016-12-12T00:00:00.000000+00:00</t>
  </si>
  <si>
    <t>SA224</t>
  </si>
  <si>
    <t>SA264</t>
  </si>
  <si>
    <t>2016-11-23T00:00:00.000000+00:00</t>
  </si>
  <si>
    <t>SA01</t>
  </si>
  <si>
    <t>SA02</t>
  </si>
  <si>
    <t>SA03</t>
  </si>
  <si>
    <t>SA03_2</t>
  </si>
  <si>
    <t>SA04</t>
  </si>
  <si>
    <t>SA05</t>
  </si>
  <si>
    <t>SA06</t>
  </si>
  <si>
    <t>SA07</t>
  </si>
  <si>
    <t>SA08</t>
  </si>
  <si>
    <t>SA09</t>
  </si>
  <si>
    <t>SA09_2</t>
  </si>
  <si>
    <t>SA10</t>
  </si>
  <si>
    <t>SA13</t>
  </si>
  <si>
    <t>SA14</t>
  </si>
  <si>
    <t>SA15</t>
  </si>
  <si>
    <t>SA19_1</t>
  </si>
  <si>
    <t>SA19_2</t>
  </si>
  <si>
    <t>SA20</t>
  </si>
  <si>
    <t>SA22</t>
  </si>
  <si>
    <t>SA25</t>
  </si>
  <si>
    <t>2015-01-20T00:00:00.000000+00:00</t>
  </si>
  <si>
    <t>2015-08-03T00:00:00.000000+00:00</t>
  </si>
  <si>
    <t>2015-01-19T00:00:00.000000+00:00</t>
  </si>
  <si>
    <t>2015-01-18T00:00:00.000000+00:00</t>
  </si>
  <si>
    <t>2014-12-18T00:00:00.000000+00:00</t>
  </si>
  <si>
    <t>2015-01-21T00:00:00.000000+00:00</t>
  </si>
  <si>
    <t>2014-12-17T00:00:00.000000+00:00</t>
  </si>
  <si>
    <t>2014-08-11T00:00:00.000000+00:00</t>
  </si>
  <si>
    <t>2014-08-12T00:00:00.000000+00:00</t>
  </si>
  <si>
    <t>2015-06-20T00:00:00.000000+00:00</t>
  </si>
  <si>
    <t>2014-12-19T00:00:00.000000+00:00</t>
  </si>
  <si>
    <t>2015-01-04T00:00:00.000000+00:00</t>
  </si>
  <si>
    <t>SA253</t>
  </si>
  <si>
    <t>SA286</t>
  </si>
  <si>
    <t>SA316</t>
  </si>
  <si>
    <t>SA11</t>
  </si>
  <si>
    <t>SA12</t>
  </si>
  <si>
    <t>SA16</t>
  </si>
  <si>
    <t>SA17</t>
  </si>
  <si>
    <t>SA18</t>
  </si>
  <si>
    <t>SA19_3</t>
  </si>
  <si>
    <t>SA21</t>
  </si>
  <si>
    <t>SA23</t>
  </si>
  <si>
    <t>EP05</t>
  </si>
  <si>
    <t>EP06</t>
  </si>
  <si>
    <t>EP07</t>
  </si>
  <si>
    <t>EP08</t>
  </si>
  <si>
    <t>EP09</t>
  </si>
  <si>
    <t>SA27_2</t>
  </si>
  <si>
    <t>SA27_3</t>
  </si>
  <si>
    <t>SA30E_2</t>
  </si>
  <si>
    <t>SA101</t>
  </si>
  <si>
    <t>SA158</t>
  </si>
  <si>
    <t>SA163_2</t>
  </si>
  <si>
    <t>SA169_3</t>
  </si>
  <si>
    <t>SA201</t>
  </si>
  <si>
    <t>SA202</t>
  </si>
  <si>
    <t>SA203</t>
  </si>
  <si>
    <t>SA204</t>
  </si>
  <si>
    <t>2015-08-08T00:00:00.000000+00:00</t>
  </si>
  <si>
    <t>2015-08-10T00:00:00.000000+00:00</t>
  </si>
  <si>
    <t>2015-08-09T00:00:00.000000+00:00</t>
  </si>
  <si>
    <t>2015-11-20T00:00:00.000000+00:00</t>
  </si>
  <si>
    <t>2015-11-21T00:00:00.000000+00:00</t>
  </si>
  <si>
    <t>2014-09-22T00:00:00.000000+00:00</t>
  </si>
  <si>
    <t>2015-11-22T00:00:00.000000+00:00</t>
  </si>
  <si>
    <t>2016-06-30T00:00:00.000000+00:00</t>
  </si>
  <si>
    <t>lat (DMS)</t>
  </si>
  <si>
    <t>lon (DMS)</t>
  </si>
  <si>
    <t>-28¬∞ 31' 48.18"</t>
  </si>
  <si>
    <t>129¬∞ 50' 2.65"</t>
  </si>
  <si>
    <t>-28¬∞ 29' 38.72"</t>
  </si>
  <si>
    <t>129¬∞ 19' 56.82"</t>
  </si>
  <si>
    <t>-28¬∞ 29' 38.36"</t>
  </si>
  <si>
    <t>129¬∞ 20' 0.60"</t>
  </si>
  <si>
    <t>-30¬∞ 0' 10.12"</t>
  </si>
  <si>
    <t>129¬∞ 31' 15.85"</t>
  </si>
  <si>
    <t>-29¬∞ 59' 11.54"</t>
  </si>
  <si>
    <t>129¬∞ 30' 38.09"</t>
  </si>
  <si>
    <t>-30¬∞ 34' 21.61"</t>
  </si>
  <si>
    <t>129¬∞ 29' 29.90"</t>
  </si>
  <si>
    <t>-31¬∞ 29' 2.00"</t>
  </si>
  <si>
    <t>129¬∞ 30' 2.02"</t>
  </si>
  <si>
    <t>-29¬∞ 27' 51.05"</t>
  </si>
  <si>
    <t>129¬∞ 30' 32.40"</t>
  </si>
  <si>
    <t>-28¬∞ 59' 57.62"</t>
  </si>
  <si>
    <t>129¬∞ 32' 46.18"</t>
  </si>
  <si>
    <t>-30¬∞ 59' 47.22"</t>
  </si>
  <si>
    <t>129¬∞ 28' 0.80"</t>
  </si>
  <si>
    <t>-31¬∞ 0' 3.24"</t>
  </si>
  <si>
    <t>129¬∞ 55' 40.62"</t>
  </si>
  <si>
    <t>-28¬∞ 32' 18.28"</t>
  </si>
  <si>
    <t>130¬∞ 6' 53.89"</t>
  </si>
  <si>
    <t>-28¬∞ 59' 38.44"</t>
  </si>
  <si>
    <t>129¬∞ 58' 54.19"</t>
  </si>
  <si>
    <t>-31¬∞ 28' 53.58"</t>
  </si>
  <si>
    <t>130¬∞ 0' 41.40"</t>
  </si>
  <si>
    <t>-29¬∞ 24' 9.68"</t>
  </si>
  <si>
    <t>130¬∞ 1' 11.24"</t>
  </si>
  <si>
    <t>-30¬∞ 0' 3.31"</t>
  </si>
  <si>
    <t>130¬∞ 4' 10.81"</t>
  </si>
  <si>
    <t>-30¬∞ 29' 58.70"</t>
  </si>
  <si>
    <t>130¬∞ 0' 31.68"</t>
  </si>
  <si>
    <t>-29¬∞ 0' 5.65"</t>
  </si>
  <si>
    <t>130¬∞ 30' 6.95"</t>
  </si>
  <si>
    <t>-31¬∞ 0' 3.31"</t>
  </si>
  <si>
    <t>130¬∞ 29' 13.27"</t>
  </si>
  <si>
    <t>-28¬∞ 33' 35.86"</t>
  </si>
  <si>
    <t>130¬∞ 28' 41.99"</t>
  </si>
  <si>
    <t>-29¬∞ 22' 56.03"</t>
  </si>
  <si>
    <t>130¬∞ 29' 53.92"</t>
  </si>
  <si>
    <t>-30¬∞ 0' 16.02"</t>
  </si>
  <si>
    <t>130¬∞ 29' 52.91"</t>
  </si>
  <si>
    <t>-30¬∞ 27' 19.73"</t>
  </si>
  <si>
    <t>130¬∞ 30' 20.99"</t>
  </si>
  <si>
    <t>-31¬∞ 29' 58.16"</t>
  </si>
  <si>
    <t>130¬∞ 29' 38.44"</t>
  </si>
  <si>
    <t>-29¬∞ 0' 39.28"</t>
  </si>
  <si>
    <t>130¬∞ 59' 57.84"</t>
  </si>
  <si>
    <t>-29¬∞ 30' 11.66"</t>
  </si>
  <si>
    <t>130¬∞ 52' 34.61"</t>
  </si>
  <si>
    <t>-31¬∞ 0' 15.77"</t>
  </si>
  <si>
    <t>130¬∞ 54' 21.38"</t>
  </si>
  <si>
    <t>-30¬∞ 0' 0.00"</t>
  </si>
  <si>
    <t>130¬∞ 59' 10.79"</t>
  </si>
  <si>
    <t>-28¬∞ 33' 44.53"</t>
  </si>
  <si>
    <t>131¬∞ 0' 31.21"</t>
  </si>
  <si>
    <t>-30¬∞ 34' 9.34"</t>
  </si>
  <si>
    <t>131¬∞ 0' 34.45"</t>
  </si>
  <si>
    <t>-29¬∞ 59' 57.80"</t>
  </si>
  <si>
    <t>131¬∞ 23' 29.18"</t>
  </si>
  <si>
    <t>-29¬∞ 31' 1.56"</t>
  </si>
  <si>
    <t>131¬∞ 30' 4.75"</t>
  </si>
  <si>
    <t>-31¬∞ 3' 38.41"</t>
  </si>
  <si>
    <t>131¬∞ 29' 52.44"</t>
  </si>
  <si>
    <t>-29¬∞ 30' 58.39"</t>
  </si>
  <si>
    <t>131¬∞ 50' 58.20"</t>
  </si>
  <si>
    <t>-30¬∞ 31' 19.96"</t>
  </si>
  <si>
    <t>131¬∞ 57' 18.86"</t>
  </si>
  <si>
    <t>-28¬∞ 33' 36.97"</t>
  </si>
  <si>
    <t>131¬∞ 59' 56.83"</t>
  </si>
  <si>
    <t>-31¬∞ 0' 23.83"</t>
  </si>
  <si>
    <t>131¬∞ 59' 58.99"</t>
  </si>
  <si>
    <t>-29¬∞ 54' 16.02"</t>
  </si>
  <si>
    <t>132¬∞ 0' 8.24"</t>
  </si>
  <si>
    <t>-28¬∞ 59' 10.68"</t>
  </si>
  <si>
    <t>132¬∞ 3' 9.90"</t>
  </si>
  <si>
    <t>-29¬∞ 52' 0.37"</t>
  </si>
  <si>
    <t>132¬∞ 29' 0.53"</t>
  </si>
  <si>
    <t>-30¬∞ 30' 32.18"</t>
  </si>
  <si>
    <t>132¬∞ 32' 50.53"</t>
  </si>
  <si>
    <t>-28¬∞ 29' 56.54"</t>
  </si>
  <si>
    <t>132¬∞ 29' 35.95"</t>
  </si>
  <si>
    <t>-29¬∞ 19' 24.28"</t>
  </si>
  <si>
    <t>132¬∞ 27' 36.86"</t>
  </si>
  <si>
    <t>-28¬∞ 29' 56.47"</t>
  </si>
  <si>
    <t>129¬∞ 2' 8.48"</t>
  </si>
  <si>
    <t>-29¬∞ 2' 50.86"</t>
  </si>
  <si>
    <t>129¬∞ 0' 24.16"</t>
  </si>
  <si>
    <t>-29¬∞ 34' 51.74"</t>
  </si>
  <si>
    <t>129¬∞ 0' 25.67"</t>
  </si>
  <si>
    <t>-30¬∞ 0' 11.45"</t>
  </si>
  <si>
    <t>128¬∞ 58' 12.90"</t>
  </si>
  <si>
    <t>-30¬∞ 28' 22.76"</t>
  </si>
  <si>
    <t>129¬∞ 0' 44.21"</t>
  </si>
  <si>
    <t>-30¬∞ 59' 39.41"</t>
  </si>
  <si>
    <t>129¬∞ 1' 2.24"</t>
  </si>
  <si>
    <t>-31¬∞ 29' 25.66"</t>
  </si>
  <si>
    <t>129¬∞ 0' 7.56"</t>
  </si>
  <si>
    <t>-29¬∞ 0' 46.98"</t>
  </si>
  <si>
    <t>131¬∞ 30' 6.98"</t>
  </si>
  <si>
    <t>-28¬∞ 31' 29.35"</t>
  </si>
  <si>
    <t>132¬∞ 59' 30.98"</t>
  </si>
  <si>
    <t>-30¬∞ 30' 50.65"</t>
  </si>
  <si>
    <t>131¬∞ 29' 56.11"</t>
  </si>
  <si>
    <t>-31¬∞ 30' 36.54"</t>
  </si>
  <si>
    <t>138¬∞ 40' 57.76"</t>
  </si>
  <si>
    <t>-31¬∞ 23' 22.32"</t>
  </si>
  <si>
    <t>139¬∞ 3' 53.50"</t>
  </si>
  <si>
    <t>-31¬∞ 45' 47.02"</t>
  </si>
  <si>
    <t>138¬∞ 42' 0.83"</t>
  </si>
  <si>
    <t>-32¬∞ 16' 42.48"</t>
  </si>
  <si>
    <t>139¬∞ 42' 9.00"</t>
  </si>
  <si>
    <t>-32¬∞ 15' 14.51"</t>
  </si>
  <si>
    <t>140¬∞ 22' 58.84"</t>
  </si>
  <si>
    <t>-32¬∞ 45' 36.78"</t>
  </si>
  <si>
    <t>138¬∞ 35' 24.60"</t>
  </si>
  <si>
    <t>-32¬∞ 44' 7.33"</t>
  </si>
  <si>
    <t>139¬∞ 46' 9.80"</t>
  </si>
  <si>
    <t>-32¬∞ 43' 49.26"</t>
  </si>
  <si>
    <t>140¬∞ 12' 11.94"</t>
  </si>
  <si>
    <t>-33¬∞ 7' 45.77"</t>
  </si>
  <si>
    <t>138¬∞ 33' 33.48"</t>
  </si>
  <si>
    <t>-33¬∞ 10' 19.20"</t>
  </si>
  <si>
    <t>139¬∞ 39' 24.37"</t>
  </si>
  <si>
    <t>-33¬∞ 9' 50.40"</t>
  </si>
  <si>
    <t>140¬∞ 7' 9.19"</t>
  </si>
  <si>
    <t>-33¬∞ 25' 42.20"</t>
  </si>
  <si>
    <t>138¬∞ 55' 10.16"</t>
  </si>
  <si>
    <t>-33¬∞ 45' 40.82"</t>
  </si>
  <si>
    <t>138¬∞ 56' 12.19"</t>
  </si>
  <si>
    <t>-33¬∞ 48' 1.51"</t>
  </si>
  <si>
    <t>139¬∞ 44' 25.62"</t>
  </si>
  <si>
    <t>-33¬∞ 10' 52.10"</t>
  </si>
  <si>
    <t>138¬∞ 8' 34.84"</t>
  </si>
  <si>
    <t>-30¬∞ 33' 1.20"</t>
  </si>
  <si>
    <t>138¬∞ 26' 21.00"</t>
  </si>
  <si>
    <t>-30¬∞ 33' 13.20"</t>
  </si>
  <si>
    <t>138¬∞ 50' 19.86"</t>
  </si>
  <si>
    <t>-30¬∞ 40' 57.30"</t>
  </si>
  <si>
    <t>139¬∞ 20' 2.16"</t>
  </si>
  <si>
    <t>-30¬∞ 53' 15.24"</t>
  </si>
  <si>
    <t>138¬∞ 23' 0.06"</t>
  </si>
  <si>
    <t>-31¬∞ 8' 30.85"</t>
  </si>
  <si>
    <t>138¬∞ 41' 31.79"</t>
  </si>
  <si>
    <t>-31¬∞ 11' 38.44"</t>
  </si>
  <si>
    <t>139¬∞ 23' 3.73"</t>
  </si>
  <si>
    <t>-31¬∞ 25' 43.92"</t>
  </si>
  <si>
    <t>139¬∞ 47' 57.72"</t>
  </si>
  <si>
    <t>-31¬∞ 45' 32.34"</t>
  </si>
  <si>
    <t>138¬∞ 19' 18.72"</t>
  </si>
  <si>
    <t>-31¬∞ 45' 7.67"</t>
  </si>
  <si>
    <t>139¬∞ 23' 10.32"</t>
  </si>
  <si>
    <t>-32¬∞ 14' 45.53"</t>
  </si>
  <si>
    <t>138¬∞ 7' 19.99"</t>
  </si>
  <si>
    <t>-32¬∞ 14' 18.24"</t>
  </si>
  <si>
    <t>138¬∞ 37' 21.60"</t>
  </si>
  <si>
    <t>-32¬∞ 10' 4.98"</t>
  </si>
  <si>
    <t>139¬∞ 14' 5.89"</t>
  </si>
  <si>
    <t>-32¬∞ 41' 47.89"</t>
  </si>
  <si>
    <t>137¬∞ 58' 31.12"</t>
  </si>
  <si>
    <t>-32¬∞ 44' 39.37"</t>
  </si>
  <si>
    <t>139¬∞ 15' 45.43"</t>
  </si>
  <si>
    <t>-29¬∞ 28' 42.60"</t>
  </si>
  <si>
    <t>138¬∞ 3' 37.87"</t>
  </si>
  <si>
    <t>-29¬∞ 29' 28.10"</t>
  </si>
  <si>
    <t>138¬∞ 33' 9.47"</t>
  </si>
  <si>
    <t>-29¬∞ 29' 54.06"</t>
  </si>
  <si>
    <t>138¬∞ 30' 0.79"</t>
  </si>
  <si>
    <t>-29¬∞ 30' 23.15"</t>
  </si>
  <si>
    <t>139¬∞ 0' 24.77"</t>
  </si>
  <si>
    <t>-29¬∞ 29' 57.16"</t>
  </si>
  <si>
    <t>139¬∞ 30' 6.95"</t>
  </si>
  <si>
    <t>-29¬∞ 28' 57.14"</t>
  </si>
  <si>
    <t>139¬∞ 56' 15.25"</t>
  </si>
  <si>
    <t>-29¬∞ 29' 10.61"</t>
  </si>
  <si>
    <t>139¬∞ 56' 20.47"</t>
  </si>
  <si>
    <t>-29¬∞ 38' 24.07"</t>
  </si>
  <si>
    <t>140¬∞ 37' 59.66"</t>
  </si>
  <si>
    <t>-29¬∞ 29' 54.38"</t>
  </si>
  <si>
    <t>140¬∞ 59' 54.60"</t>
  </si>
  <si>
    <t>-29¬∞ 30' 58.46"</t>
  </si>
  <si>
    <t>141¬∞ 30' 2.27"</t>
  </si>
  <si>
    <t>-29¬∞ 58' 58.91"</t>
  </si>
  <si>
    <t>138¬∞ 0' 0.58"</t>
  </si>
  <si>
    <t>-30¬∞ 0' 9.90"</t>
  </si>
  <si>
    <t>138¬∞ 30' 21.85"</t>
  </si>
  <si>
    <t>-30¬∞ 0' 0.58"</t>
  </si>
  <si>
    <t>139¬∞ 0' 2.12"</t>
  </si>
  <si>
    <t>-29¬∞ 57' 27.72"</t>
  </si>
  <si>
    <t>139¬∞ 29' 4.78"</t>
  </si>
  <si>
    <t>-29¬∞ 59' 48.27"</t>
  </si>
  <si>
    <t>139¬∞ 59' 13.50"</t>
  </si>
  <si>
    <t>-30¬∞ 1' 2.35"</t>
  </si>
  <si>
    <t>139¬∞ 52' 5.45"</t>
  </si>
  <si>
    <t>-29¬∞ 56' 48.44"</t>
  </si>
  <si>
    <t>146¬∞ 26' 48.19"</t>
  </si>
  <si>
    <t>-30¬∞ 0' 43.09"</t>
  </si>
  <si>
    <t>140¬∞ 59' 56.94"</t>
  </si>
  <si>
    <t>-29¬∞ 58' 34.86"</t>
  </si>
  <si>
    <t>141¬∞ 27' 47.88"</t>
  </si>
  <si>
    <t>-30¬∞ 25' 1.27"</t>
  </si>
  <si>
    <t>138¬∞ 1' 45.34"</t>
  </si>
  <si>
    <t>-30¬∞ 29' 33.36"</t>
  </si>
  <si>
    <t>140¬∞ 7' 28.63"</t>
  </si>
  <si>
    <t>-30¬∞ 29' 54.42"</t>
  </si>
  <si>
    <t>140¬∞ 7' 21.68"</t>
  </si>
  <si>
    <t>-30¬∞ 29' 31.88"</t>
  </si>
  <si>
    <t>140¬∞ 29' 49.45"</t>
  </si>
  <si>
    <t>-30¬∞ 30' 14.40"</t>
  </si>
  <si>
    <t>141¬∞ 0' 6.52"</t>
  </si>
  <si>
    <t>-30¬∞ 29' 42.94"</t>
  </si>
  <si>
    <t>141¬∞ 29' 52.40"</t>
  </si>
  <si>
    <t>-30¬∞ 56' 54.20"</t>
  </si>
  <si>
    <t>138¬∞ 9' 1.04"</t>
  </si>
  <si>
    <t>-31¬∞ 0' 56.99"</t>
  </si>
  <si>
    <t>140¬∞ 0' 22.68"</t>
  </si>
  <si>
    <t>-30¬∞ 58' 6.28"</t>
  </si>
  <si>
    <t>140¬∞ 30' 6.52"</t>
  </si>
  <si>
    <t>-31¬∞ 0' 9.72"</t>
  </si>
  <si>
    <t>140¬∞ 59' 56.08"</t>
  </si>
  <si>
    <t>-30¬∞ 58' 39.32"</t>
  </si>
  <si>
    <t>141¬∞ 28' 32.05"</t>
  </si>
  <si>
    <t>-31¬∞ 31' 38.28"</t>
  </si>
  <si>
    <t>138¬∞ 4' 29.32"</t>
  </si>
  <si>
    <t>-31¬∞ 29' 58.31"</t>
  </si>
  <si>
    <t>140¬∞ 0' 1.22"</t>
  </si>
  <si>
    <t>-31¬∞ 32' 17.45"</t>
  </si>
  <si>
    <t>140¬∞ 30' 9.65"</t>
  </si>
  <si>
    <t>-31¬∞ 29' 54.49"</t>
  </si>
  <si>
    <t>140¬∞ 59' 59.35"</t>
  </si>
  <si>
    <t>-31¬∞ 28' 16.97"</t>
  </si>
  <si>
    <t>141¬∞ 30' 45.14"</t>
  </si>
  <si>
    <t>-31¬∞ 59' 58.09"</t>
  </si>
  <si>
    <t>140¬∞ 59' 59.28"</t>
  </si>
  <si>
    <t>-31¬∞ 59' 25.91"</t>
  </si>
  <si>
    <t>141¬∞ 32' 36.06"</t>
  </si>
  <si>
    <t>-32¬∞ 28' 4.04"</t>
  </si>
  <si>
    <t>141¬∞ 0' 1.26"</t>
  </si>
  <si>
    <t>-32¬∞ 32' 31.34"</t>
  </si>
  <si>
    <t>141¬∞ 28' 4.48"</t>
  </si>
  <si>
    <t>-32¬∞ 59' 20.40"</t>
  </si>
  <si>
    <t>141¬∞ 0' 0.00"</t>
  </si>
  <si>
    <t>-32¬∞ 59' 37.39"</t>
  </si>
  <si>
    <t>141¬∞ 30' 36.18"</t>
  </si>
  <si>
    <t>-33¬∞ 32' 33.97"</t>
  </si>
  <si>
    <t>140¬∞ 28' 10.81"</t>
  </si>
  <si>
    <t>-33¬∞ 29' 29.04"</t>
  </si>
  <si>
    <t>141¬∞ 0' 5.40"</t>
  </si>
  <si>
    <t>-33¬∞ 29' 46.79"</t>
  </si>
  <si>
    <t>141¬∞ 28' 13.66"</t>
  </si>
  <si>
    <t>-34¬∞ 0' 13.57"</t>
  </si>
  <si>
    <t>138¬∞ 59' 54.85"</t>
  </si>
  <si>
    <t>-34¬∞ 0' 31.68"</t>
  </si>
  <si>
    <t>139¬∞ 0' 11.48"</t>
  </si>
  <si>
    <t>-34¬∞ 0' 37.94"</t>
  </si>
  <si>
    <t>139¬∞ 31' 26.47"</t>
  </si>
  <si>
    <t>-34¬∞ 1' 9.19"</t>
  </si>
  <si>
    <t>139¬∞ 59' 16.58"</t>
  </si>
  <si>
    <t>-34¬∞ 0' 18.29"</t>
  </si>
  <si>
    <t>140¬∞ 30' 2.45"</t>
  </si>
  <si>
    <t>-34¬∞ 0' 40.50"</t>
  </si>
  <si>
    <t>140¬∞ 57' 39.35"</t>
  </si>
  <si>
    <t>-30¬∞ 21' 16.81"</t>
  </si>
  <si>
    <t>139¬∞ 22' 29.57"</t>
  </si>
  <si>
    <t>-30¬∞ 21' 20.74"</t>
  </si>
  <si>
    <t>139¬∞ 22' 26.00"</t>
  </si>
  <si>
    <t>-30¬∞ 21' 19.62"</t>
  </si>
  <si>
    <t>139¬∞ 22' 25.61"</t>
  </si>
  <si>
    <t>-31¬∞ 52' 39.65"</t>
  </si>
  <si>
    <t>140¬∞ 1' 38.64"</t>
  </si>
  <si>
    <t>-31¬∞ 29' 51.61"</t>
  </si>
  <si>
    <t>132¬∞ 26' 0.74"</t>
  </si>
  <si>
    <t>-31¬∞ 3' 43.34"</t>
  </si>
  <si>
    <t>132¬∞ 30' 34.78"</t>
  </si>
  <si>
    <t>-31¬∞ 28' 52.97"</t>
  </si>
  <si>
    <t>132¬∞ 52' 28.20"</t>
  </si>
  <si>
    <t>-28¬∞ 57' 7.60"</t>
  </si>
  <si>
    <t>133¬∞ 0' 2.41"</t>
  </si>
  <si>
    <t>-30¬∞ 59' 59.82"</t>
  </si>
  <si>
    <t>133¬∞ 0' 9.36"</t>
  </si>
  <si>
    <t>-29¬∞ 59' 54.92"</t>
  </si>
  <si>
    <t>133¬∞ 0' 39.78"</t>
  </si>
  <si>
    <t>-29¬∞ 30' 5.98"</t>
  </si>
  <si>
    <t>133¬∞ 0' 58.56"</t>
  </si>
  <si>
    <t>-29¬∞ 1' 15.92"</t>
  </si>
  <si>
    <t>133¬∞ 32' 11.29"</t>
  </si>
  <si>
    <t>-29¬∞ 1' 5.94"</t>
  </si>
  <si>
    <t>133¬∞ 31' 41.25"</t>
  </si>
  <si>
    <t>-29¬∞ 30' 12.88"</t>
  </si>
  <si>
    <t>133¬∞ 29' 58.98"</t>
  </si>
  <si>
    <t>-30¬∞ 0' 33.04"</t>
  </si>
  <si>
    <t>133¬∞ 29' 58.10"</t>
  </si>
  <si>
    <t>-30¬∞ 2' 7.62"</t>
  </si>
  <si>
    <t>133¬∞ 27' 27.72"</t>
  </si>
  <si>
    <t>-30¬∞ 59' 47.58"</t>
  </si>
  <si>
    <t>133¬∞ 29' 49.38"</t>
  </si>
  <si>
    <t>-30¬∞ 30' 31.72"</t>
  </si>
  <si>
    <t>133¬∞ 30' 12.13"</t>
  </si>
  <si>
    <t>-31¬∞ 24' 16.88"</t>
  </si>
  <si>
    <t>133¬∞ 30' 21.35"</t>
  </si>
  <si>
    <t>-29¬∞ 31' 31.80"</t>
  </si>
  <si>
    <t>133¬∞ 59' 51.00"</t>
  </si>
  <si>
    <t>-29¬∞ 31' 28.81"</t>
  </si>
  <si>
    <t>134¬∞ 0' 0.83"</t>
  </si>
  <si>
    <t>-30¬∞ 1' 4.70"</t>
  </si>
  <si>
    <t>133¬∞ 59' 51.94"</t>
  </si>
  <si>
    <t>-30¬∞ 30' 20.53"</t>
  </si>
  <si>
    <t>134¬∞ 1' 15.24"</t>
  </si>
  <si>
    <t>-31¬∞ 32' 39.12"</t>
  </si>
  <si>
    <t>133¬∞ 59' 55.75"</t>
  </si>
  <si>
    <t>-28¬∞ 57' 7.67"</t>
  </si>
  <si>
    <t>134¬∞ 0' 2.99"</t>
  </si>
  <si>
    <t>-30¬∞ 59' 58.99"</t>
  </si>
  <si>
    <t>134¬∞ 3' 29.16"</t>
  </si>
  <si>
    <t>-31¬∞ 35' 39.30"</t>
  </si>
  <si>
    <t>134¬∞ 29' 49.42"</t>
  </si>
  <si>
    <t>-31¬∞ 59' 33.54"</t>
  </si>
  <si>
    <t>134¬∞ 29' 56.36"</t>
  </si>
  <si>
    <t>-30¬∞ 59' 56.08"</t>
  </si>
  <si>
    <t>134¬∞ 37' 23.48"</t>
  </si>
  <si>
    <t>-29¬∞ 1' 55.44"</t>
  </si>
  <si>
    <t>135¬∞ 0' 47.46"</t>
  </si>
  <si>
    <t>-29¬∞ 28' 38.98"</t>
  </si>
  <si>
    <t>134¬∞ 58' 23.62"</t>
  </si>
  <si>
    <t>-30¬∞ 31' 45.08"</t>
  </si>
  <si>
    <t>135¬∞ 0' 45.76"</t>
  </si>
  <si>
    <t>-29¬∞ 59' 42.90"</t>
  </si>
  <si>
    <t>134¬∞ 59' 43.44"</t>
  </si>
  <si>
    <t>-31¬∞ 59' 32.21"</t>
  </si>
  <si>
    <t>135¬∞ 0' 1.98"</t>
  </si>
  <si>
    <t>-30¬∞ 59' 50.71"</t>
  </si>
  <si>
    <t>134¬∞ 58' 27.11"</t>
  </si>
  <si>
    <t>-31¬∞ 31' 34.32"</t>
  </si>
  <si>
    <t>135¬∞ 2' 53.63"</t>
  </si>
  <si>
    <t>-31¬∞ 31' 45.70"</t>
  </si>
  <si>
    <t>135¬∞ 2' 56.83"</t>
  </si>
  <si>
    <t>-30¬∞ 29' 51.15"</t>
  </si>
  <si>
    <t>135¬∞ 27' 31.78"</t>
  </si>
  <si>
    <t>-29¬∞ 31' 27.80"</t>
  </si>
  <si>
    <t>135¬∞ 29' 52.33"</t>
  </si>
  <si>
    <t>-31¬∞ 29' 29.47"</t>
  </si>
  <si>
    <t>135¬∞ 24' 25.02"</t>
  </si>
  <si>
    <t>-30¬∞ 56' 18.53"</t>
  </si>
  <si>
    <t>135¬∞ 29' 11.08"</t>
  </si>
  <si>
    <t>-30¬∞ 56' 18.56"</t>
  </si>
  <si>
    <t>135¬∞ 29' 11.00"</t>
  </si>
  <si>
    <t>-31¬∞ 53' 54.24"</t>
  </si>
  <si>
    <t>135¬∞ 31' 55.20"</t>
  </si>
  <si>
    <t>-31¬∞ 53' 50.89"</t>
  </si>
  <si>
    <t>135¬∞ 31' 9.73"</t>
  </si>
  <si>
    <t>-30¬∞ 2' 0.82"</t>
  </si>
  <si>
    <t>135¬∞ 32' 37.35"</t>
  </si>
  <si>
    <t>-29¬∞ 1' 25.89"</t>
  </si>
  <si>
    <t>135¬∞ 33' 51.20"</t>
  </si>
  <si>
    <t>-29¬∞ 2' 13.24"</t>
  </si>
  <si>
    <t>135¬∞ 30' 37.08"</t>
  </si>
  <si>
    <t>-30¬∞ 30' 48.72"</t>
  </si>
  <si>
    <t>135¬∞ 57' 24.24"</t>
  </si>
  <si>
    <t>-31¬∞ 57' 38.81"</t>
  </si>
  <si>
    <t>135¬∞ 56' 50.03"</t>
  </si>
  <si>
    <t>-30¬∞ 1' 29.45"</t>
  </si>
  <si>
    <t>135¬∞ 59' 57.34"</t>
  </si>
  <si>
    <t>-30¬∞ 1' 29.86"</t>
  </si>
  <si>
    <t>135¬∞ 59' 57.19"</t>
  </si>
  <si>
    <t>-28¬∞ 55' 46.86"</t>
  </si>
  <si>
    <t>135¬∞ 59' 38.10"</t>
  </si>
  <si>
    <t>-29¬∞ 30' 3.96"</t>
  </si>
  <si>
    <t>136¬∞ 1' 23.52"</t>
  </si>
  <si>
    <t>-31¬∞ 26' 20.51"</t>
  </si>
  <si>
    <t>136¬∞ 17' 15.83"</t>
  </si>
  <si>
    <t>-30¬∞ 54' 8.88"</t>
  </si>
  <si>
    <t>136¬∞ 19' 39.32"</t>
  </si>
  <si>
    <t>-29¬∞ 58' 23.84"</t>
  </si>
  <si>
    <t>136¬∞ 27' 1.72"</t>
  </si>
  <si>
    <t>-31¬∞ 59' 52.87"</t>
  </si>
  <si>
    <t>136¬∞ 27' 46.04"</t>
  </si>
  <si>
    <t>-29¬∞ 27' 33.84"</t>
  </si>
  <si>
    <t>136¬∞ 28' 56.82"</t>
  </si>
  <si>
    <t>-29¬∞ 0' 17.26"</t>
  </si>
  <si>
    <t>136¬∞ 28' 22.73"</t>
  </si>
  <si>
    <t>-30¬∞ 29' 42.25"</t>
  </si>
  <si>
    <t>136¬∞ 30' 16.56"</t>
  </si>
  <si>
    <t>-32¬∞ 22' 59.70"</t>
  </si>
  <si>
    <t>136¬∞ 36' 17.10"</t>
  </si>
  <si>
    <t>-29¬∞ 28' 9.08"</t>
  </si>
  <si>
    <t>137¬∞ 1' 20.14"</t>
  </si>
  <si>
    <t>-29¬∞ 3' 40.98"</t>
  </si>
  <si>
    <t>137¬∞ 0' 39.96"</t>
  </si>
  <si>
    <t>-31¬∞ 58' 22.73"</t>
  </si>
  <si>
    <t>137¬∞ 2' 19.90"</t>
  </si>
  <si>
    <t>-29¬∞ 8' 16.44"</t>
  </si>
  <si>
    <t>137¬∞ 25' 23.58"</t>
  </si>
  <si>
    <t>-28¬∞ 59' 41.57"</t>
  </si>
  <si>
    <t>140¬∞ 59' 42.94"</t>
  </si>
  <si>
    <t>-28¬∞ 58' 49.12"</t>
  </si>
  <si>
    <t>140¬∞ 30' 16.45"</t>
  </si>
  <si>
    <t>-28¬∞ 58' 49.04"</t>
  </si>
  <si>
    <t>140¬∞ 30' 16.42"</t>
  </si>
  <si>
    <t>-28¬∞ 59' 26.09"</t>
  </si>
  <si>
    <t>140¬∞ 0' 52.92"</t>
  </si>
  <si>
    <t>-28¬∞ 59' 54.10"</t>
  </si>
  <si>
    <t>139¬∞ 29' 58.20"</t>
  </si>
  <si>
    <t>-28¬∞ 59' 57.73"</t>
  </si>
  <si>
    <t>138¬∞ 59' 8.12"</t>
  </si>
  <si>
    <t>-29¬∞ 0' 41.15"</t>
  </si>
  <si>
    <t>138¬∞ 27' 50.83"</t>
  </si>
  <si>
    <t>-29¬∞ 0' 42.88"</t>
  </si>
  <si>
    <t>138¬∞ 27' 46.19"</t>
  </si>
  <si>
    <t>-28¬∞ 59' 52.30"</t>
  </si>
  <si>
    <t>138¬∞ 0' 6.08"</t>
  </si>
  <si>
    <t>-28¬∞ 29' 25.94"</t>
  </si>
  <si>
    <t>140¬∞ 59' 50.57"</t>
  </si>
  <si>
    <t>-28¬∞ 29' 45.35"</t>
  </si>
  <si>
    <t>140¬∞ 29' 58.96"</t>
  </si>
  <si>
    <t>-28¬∞ 30' 21.60"</t>
  </si>
  <si>
    <t>139¬∞ 59' 58.56"</t>
  </si>
  <si>
    <t>-28¬∞ 29' 37.75"</t>
  </si>
  <si>
    <t>-28¬∞ 30' 0.90"</t>
  </si>
  <si>
    <t>139¬∞ 0' 42.26"</t>
  </si>
  <si>
    <t>-28¬∞ 29' 52.19"</t>
  </si>
  <si>
    <t>138¬∞ 30' 13.46"</t>
  </si>
  <si>
    <t>-28¬∞ 31' 2.82"</t>
  </si>
  <si>
    <t>138¬∞ 0' 3.49"</t>
  </si>
  <si>
    <t>-28¬∞ 25' 53.34"</t>
  </si>
  <si>
    <t>136¬∞ 58' 3.90"</t>
  </si>
  <si>
    <t>-28¬∞ 29' 51.24"</t>
  </si>
  <si>
    <t>136¬∞ 30' 2.58"</t>
  </si>
  <si>
    <t>-28¬∞ 27' 57.06"</t>
  </si>
  <si>
    <t>135¬∞ 58' 22.02"</t>
  </si>
  <si>
    <t>-28¬∞ 30' 0.48"</t>
  </si>
  <si>
    <t>135¬∞ 29' 45.12"</t>
  </si>
  <si>
    <t>-28¬∞ 30' 4.39"</t>
  </si>
  <si>
    <t>134¬∞ 28' 34.46"</t>
  </si>
  <si>
    <t>-27¬∞ 59' 53.09"</t>
  </si>
  <si>
    <t>140¬∞ 59' 45.46"</t>
  </si>
  <si>
    <t>-28¬∞ 0' 2.02"</t>
  </si>
  <si>
    <t>140¬∞ 34' 41.92"</t>
  </si>
  <si>
    <t>-28¬∞ 0' 5.62"</t>
  </si>
  <si>
    <t>140¬∞ 34' 45.52"</t>
  </si>
  <si>
    <t>-28¬∞ 0' 3.85"</t>
  </si>
  <si>
    <t>139¬∞ 29' 32.35"</t>
  </si>
  <si>
    <t>-27¬∞ 59' 42.58"</t>
  </si>
  <si>
    <t>139¬∞ 0' 51.91"</t>
  </si>
  <si>
    <t>-27¬∞ 59' 42.72"</t>
  </si>
  <si>
    <t>138¬∞ 0' 21.06"</t>
  </si>
  <si>
    <t>-28¬∞ 0' 17.28"</t>
  </si>
  <si>
    <t>137¬∞ 32' 33.79"</t>
  </si>
  <si>
    <t>-28¬∞ 1' 31.12"</t>
  </si>
  <si>
    <t>136¬∞ 29' 29.00"</t>
  </si>
  <si>
    <t>-27¬∞ 59' 29.00"</t>
  </si>
  <si>
    <t>136¬∞ 0' 51.55"</t>
  </si>
  <si>
    <t>-28¬∞ 0' 1.62"</t>
  </si>
  <si>
    <t>135¬∞ 30' 14.90"</t>
  </si>
  <si>
    <t>-28¬∞ 1' 5.56"</t>
  </si>
  <si>
    <t>135¬∞ 0' 45.29"</t>
  </si>
  <si>
    <t>-27¬∞ 58' 53.90"</t>
  </si>
  <si>
    <t>134¬∞ 29' 44.20"</t>
  </si>
  <si>
    <t>-27¬∞ 58' 46.06"</t>
  </si>
  <si>
    <t>134¬∞ 31' 20.39"</t>
  </si>
  <si>
    <t>-27¬∞ 58' 45.80"</t>
  </si>
  <si>
    <t>134¬∞ 31' 21.25"</t>
  </si>
  <si>
    <t>-27¬∞ 29' 42.50"</t>
  </si>
  <si>
    <t>140¬∞ 59' 44.38"</t>
  </si>
  <si>
    <t>-27¬∞ 28' 42.42"</t>
  </si>
  <si>
    <t>140¬∞ 30' 55.26"</t>
  </si>
  <si>
    <t>-27¬∞ 30' 28.73"</t>
  </si>
  <si>
    <t>139¬∞ 58' 35.00"</t>
  </si>
  <si>
    <t>-27¬∞ 29' 59.82"</t>
  </si>
  <si>
    <t>139¬∞ 30' 11.45"</t>
  </si>
  <si>
    <t>-27¬∞ 29' 35.27"</t>
  </si>
  <si>
    <t>138¬∞ 59' 44.20"</t>
  </si>
  <si>
    <t>-27¬∞ 29' 57.77"</t>
  </si>
  <si>
    <t>138¬∞ 27' 46.22"</t>
  </si>
  <si>
    <t>-27¬∞ 30' 15.70"</t>
  </si>
  <si>
    <t>138¬∞ 0' 21.42"</t>
  </si>
  <si>
    <t>-27¬∞ 29' 39.34"</t>
  </si>
  <si>
    <t>137¬∞ 30' 12.49"</t>
  </si>
  <si>
    <t>-27¬∞ 29' 38.44"</t>
  </si>
  <si>
    <t>137¬∞ 30' 10.55"</t>
  </si>
  <si>
    <t>-27¬∞ 29' 58.99"</t>
  </si>
  <si>
    <t>136¬∞ 59' 55.64"</t>
  </si>
  <si>
    <t>-27¬∞ 30' 3.54"</t>
  </si>
  <si>
    <t>136¬∞ 30' 24.36"</t>
  </si>
  <si>
    <t>-27¬∞ 30' 1.19"</t>
  </si>
  <si>
    <t>136¬∞ 30' 38.27"</t>
  </si>
  <si>
    <t>-27¬∞ 29' 33.30"</t>
  </si>
  <si>
    <t>136¬∞ 0' 42.18"</t>
  </si>
  <si>
    <t>-27¬∞ 0' 5.11"</t>
  </si>
  <si>
    <t>140¬∞ 58' 37.38"</t>
  </si>
  <si>
    <t>-26¬∞ 59' 26.52"</t>
  </si>
  <si>
    <t>140¬∞ 30' 32.36"</t>
  </si>
  <si>
    <t>-26¬∞ 59' 27.96"</t>
  </si>
  <si>
    <t>140¬∞ 1' 39.22"</t>
  </si>
  <si>
    <t>-26¬∞ 56' 51.72"</t>
  </si>
  <si>
    <t>139¬∞ 30' 48.67"</t>
  </si>
  <si>
    <t>-26¬∞ 59' 59.46"</t>
  </si>
  <si>
    <t>139¬∞ 0' 4.00"</t>
  </si>
  <si>
    <t>-27¬∞ 3' 18.79"</t>
  </si>
  <si>
    <t>138¬∞ 32' 16.76"</t>
  </si>
  <si>
    <t>-27¬∞ 0' 7.92"</t>
  </si>
  <si>
    <t>138¬∞ 0' 17.50"</t>
  </si>
  <si>
    <t>-26¬∞ 59' 54.24"</t>
  </si>
  <si>
    <t>137¬∞ 31' 23.41"</t>
  </si>
  <si>
    <t>-26¬∞ 59' 53.95"</t>
  </si>
  <si>
    <t>137¬∞ 31' 21.76"</t>
  </si>
  <si>
    <t>-27¬∞ 0' 2.41"</t>
  </si>
  <si>
    <t>136¬∞ 59' 51.00"</t>
  </si>
  <si>
    <t>-27¬∞ 0' 1.33"</t>
  </si>
  <si>
    <t>136¬∞ 30' 27.72"</t>
  </si>
  <si>
    <t>-26¬∞ 59' 57.55"</t>
  </si>
  <si>
    <t>136¬∞ 0' 16.49"</t>
  </si>
  <si>
    <t>-27¬∞ 0' 2.52"</t>
  </si>
  <si>
    <t>135¬∞ 29' 56.76"</t>
  </si>
  <si>
    <t>-26¬∞ 57' 1.94"</t>
  </si>
  <si>
    <t>134¬∞ 0' 41.58"</t>
  </si>
  <si>
    <t>-26¬∞ 57' 48.56"</t>
  </si>
  <si>
    <t>133¬∞ 28' 10.92"</t>
  </si>
  <si>
    <t>-26¬∞ 30' 47.34"</t>
  </si>
  <si>
    <t>140¬∞ 59' 49.20"</t>
  </si>
  <si>
    <t>-26¬∞ 31' 21.04"</t>
  </si>
  <si>
    <t>140¬∞ 25' 46.13"</t>
  </si>
  <si>
    <t>-26¬∞ 30' 20.88"</t>
  </si>
  <si>
    <t>139¬∞ 59' 50.64"</t>
  </si>
  <si>
    <t>-26¬∞ 29' 16.44"</t>
  </si>
  <si>
    <t>139¬∞ 33' 58.75"</t>
  </si>
  <si>
    <t>-26¬∞ 29' 51.83"</t>
  </si>
  <si>
    <t>138¬∞ 59' 43.19"</t>
  </si>
  <si>
    <t>-26¬∞ 30' 16.09"</t>
  </si>
  <si>
    <t>138¬∞ 30' 23.11"</t>
  </si>
  <si>
    <t>-26¬∞ 30' 16.24"</t>
  </si>
  <si>
    <t>138¬∞ 30' 22.97"</t>
  </si>
  <si>
    <t>-26¬∞ 30' 15.01"</t>
  </si>
  <si>
    <t>-26¬∞ 29' 51.54"</t>
  </si>
  <si>
    <t>138¬∞ 0' 0.32"</t>
  </si>
  <si>
    <t>-26¬∞ 29' 18.02"</t>
  </si>
  <si>
    <t>137¬∞ 31' 20.96"</t>
  </si>
  <si>
    <t>-26¬∞ 29' 17.45"</t>
  </si>
  <si>
    <t>137¬∞ 31' 20.89"</t>
  </si>
  <si>
    <t>-26¬∞ 29' 33.65"</t>
  </si>
  <si>
    <t>137¬∞ 0' 18.83"</t>
  </si>
  <si>
    <t>-26¬∞ 30' 15.95"</t>
  </si>
  <si>
    <t>136¬∞ 30' 4.39"</t>
  </si>
  <si>
    <t>-28¬∞ 31' 11.48"</t>
  </si>
  <si>
    <t>134¬∞ 57' 28.03"</t>
  </si>
  <si>
    <t>-27¬∞ 29' 42.79"</t>
  </si>
  <si>
    <t>135¬∞ 28' 55.83"</t>
  </si>
  <si>
    <t>-37¬∞ 58' 8.11"</t>
  </si>
  <si>
    <t>140¬∞ 31' 11.24"</t>
  </si>
  <si>
    <t>-37¬∞ 29' 11.66"</t>
  </si>
  <si>
    <t>140¬∞ 29' 19.48"</t>
  </si>
  <si>
    <t>-37¬∞ 28' 20.71"</t>
  </si>
  <si>
    <t>140¬∞ 4' 53.33"</t>
  </si>
  <si>
    <t>-37¬∞ 28' 18.08"</t>
  </si>
  <si>
    <t>140¬∞ 6' 6.12"</t>
  </si>
  <si>
    <t>-37¬∞ 0' 34.99"</t>
  </si>
  <si>
    <t>140¬∞ 30' 19.73"</t>
  </si>
  <si>
    <t>-37¬∞ 5' 23.64"</t>
  </si>
  <si>
    <t>140¬∞ 0' 6.30"</t>
  </si>
  <si>
    <t>-36¬∞ 29' 2.76"</t>
  </si>
  <si>
    <t>140¬∞ 30' 54.22"</t>
  </si>
  <si>
    <t>-36¬∞ 33' 39.20"</t>
  </si>
  <si>
    <t>139¬∞ 56' 4.31"</t>
  </si>
  <si>
    <t>-35¬∞ 58' 34.68"</t>
  </si>
  <si>
    <t>140¬∞ 29' 8.52"</t>
  </si>
  <si>
    <t>-36¬∞ 0' 29.16"</t>
  </si>
  <si>
    <t>140¬∞ 1' 13.73"</t>
  </si>
  <si>
    <t>-35¬∞ 59' 27.92"</t>
  </si>
  <si>
    <t>140¬∞ 1' 39.86"</t>
  </si>
  <si>
    <t>-35¬∞ 47' 40.78"</t>
  </si>
  <si>
    <t>139¬∞ 34' 0.19"</t>
  </si>
  <si>
    <t>-35¬∞ 29' 8.70"</t>
  </si>
  <si>
    <t>140¬∞ 35' 35.92"</t>
  </si>
  <si>
    <t>-35¬∞ 29' 20.27"</t>
  </si>
  <si>
    <t>139¬∞ 59' 19.60"</t>
  </si>
  <si>
    <t>-35¬∞ 29' 53.48"</t>
  </si>
  <si>
    <t>139¬∞ 29' 9.10"</t>
  </si>
  <si>
    <t>-35¬∞ 29' 43.22"</t>
  </si>
  <si>
    <t>139¬∞ 0' 10.80"</t>
  </si>
  <si>
    <t>-35¬∞ 30' 0.90"</t>
  </si>
  <si>
    <t>138¬∞ 30' 50.22"</t>
  </si>
  <si>
    <t>-35¬∞ 2' 8.21"</t>
  </si>
  <si>
    <t>140¬∞ 29' 20.89"</t>
  </si>
  <si>
    <t>-35¬∞ 0' 16.20"</t>
  </si>
  <si>
    <t>139¬∞ 59' 59.35"</t>
  </si>
  <si>
    <t>-34¬∞ 59' 27.32"</t>
  </si>
  <si>
    <t>139¬∞ 28' 16.83"</t>
  </si>
  <si>
    <t>-35¬∞ 0' 29.02"</t>
  </si>
  <si>
    <t>139¬∞ 0' 21.28"</t>
  </si>
  <si>
    <t>-35¬∞ 0' 29.52"</t>
  </si>
  <si>
    <t>139¬∞ 0' 20.38"</t>
  </si>
  <si>
    <t>-35¬∞ 0' 16.63"</t>
  </si>
  <si>
    <t>139¬∞ 0' 20.05"</t>
  </si>
  <si>
    <t>-34¬∞ 30' 18.46"</t>
  </si>
  <si>
    <t>140¬∞ 28' 27.80"</t>
  </si>
  <si>
    <t>-34¬∞ 29' 10.39"</t>
  </si>
  <si>
    <t>139¬∞ 57' 35.68"</t>
  </si>
  <si>
    <t>-34¬∞ 29' 0.06"</t>
  </si>
  <si>
    <t>139¬∞ 31' 31.30"</t>
  </si>
  <si>
    <t>-34¬∞ 30' 17.78"</t>
  </si>
  <si>
    <t>138¬∞ 59' 23.06"</t>
  </si>
  <si>
    <t>-34¬∞ 0' 0.83"</t>
  </si>
  <si>
    <t>138¬∞ 30' 11.72"</t>
  </si>
  <si>
    <t>-35¬∞ 47' 29.26"</t>
  </si>
  <si>
    <t>137¬∞ 59' 11.29"</t>
  </si>
  <si>
    <t>-35¬∞ 44' 29.83"</t>
  </si>
  <si>
    <t>136¬∞ 57' 21.60"</t>
  </si>
  <si>
    <t>-35¬∞ 53' 44.16"</t>
  </si>
  <si>
    <t>137¬∞ 37' 58.15"</t>
  </si>
  <si>
    <t>-35¬∞ 37' 3.50"</t>
  </si>
  <si>
    <t>137¬∞ 31' 24.42"</t>
  </si>
  <si>
    <t>-35¬∞ 56' 25.76"</t>
  </si>
  <si>
    <t>136¬∞ 50' 14.86"</t>
  </si>
  <si>
    <t>-32¬∞ 27' 49.25"</t>
  </si>
  <si>
    <t>133¬∞ 59' 8.34"</t>
  </si>
  <si>
    <t>-32¬∞ 27' 24.34"</t>
  </si>
  <si>
    <t>133¬∞ 59' 15.04"</t>
  </si>
  <si>
    <t>-32¬∞ 57' 15.62"</t>
  </si>
  <si>
    <t>134¬∞ 30' 12.64"</t>
  </si>
  <si>
    <t>-32¬∞ 29' 54.56"</t>
  </si>
  <si>
    <t>135¬∞ 29' 13.20"</t>
  </si>
  <si>
    <t>-33¬∞ 58' 42.28"</t>
  </si>
  <si>
    <t>137¬∞ 46' 41.95"</t>
  </si>
  <si>
    <t>-33¬∞ 29' 32.42"</t>
  </si>
  <si>
    <t>134¬∞ 59' 29.69"</t>
  </si>
  <si>
    <t>-33¬∞ 59' 49.78"</t>
  </si>
  <si>
    <t>135¬∞ 59' 32.32"</t>
  </si>
  <si>
    <t>-32¬∞ 51' 34.78"</t>
  </si>
  <si>
    <t>137¬∞ 56' 34.55"</t>
  </si>
  <si>
    <t>-32¬∞ 49' 35.76"</t>
  </si>
  <si>
    <t>138¬∞ 11' 19.75"</t>
  </si>
  <si>
    <t>-33¬∞ 6' 30.60"</t>
  </si>
  <si>
    <t>137¬∞ 22' 37.31"</t>
  </si>
  <si>
    <t>-32¬∞ 25' 51.24"</t>
  </si>
  <si>
    <t>137¬∞ 17' 56.51"</t>
  </si>
  <si>
    <t>latd</t>
  </si>
  <si>
    <t>latm</t>
  </si>
  <si>
    <t>lats</t>
  </si>
  <si>
    <t>latd_positive</t>
  </si>
  <si>
    <t>lond</t>
  </si>
  <si>
    <t>lonm</t>
  </si>
  <si>
    <t>lons</t>
  </si>
  <si>
    <t>Website_API</t>
  </si>
  <si>
    <t>month</t>
  </si>
  <si>
    <t>day</t>
  </si>
  <si>
    <t>year</t>
  </si>
  <si>
    <t>month_2digits</t>
  </si>
  <si>
    <t>day_2digits</t>
  </si>
  <si>
    <t>WA11</t>
  </si>
  <si>
    <t>WA12</t>
  </si>
  <si>
    <t>WA28</t>
  </si>
  <si>
    <t>WASA352</t>
  </si>
  <si>
    <t>-26¬∞ 29' 44.62"</t>
  </si>
  <si>
    <t>128¬∞ 26' 4.56"</t>
  </si>
  <si>
    <t>-25¬∞ 57' 41.03"</t>
  </si>
  <si>
    <t>128¬∞ 32' 42.79"</t>
  </si>
  <si>
    <t>-25¬∞ 59' 32.66"</t>
  </si>
  <si>
    <t>127¬∞ 59' 44.88"</t>
  </si>
  <si>
    <t>-26¬∞ 0' 1.57"</t>
  </si>
  <si>
    <t>129¬∞ 0' 0.82"</t>
  </si>
  <si>
    <t>2016-10-28T00:00:00.000000+00:00</t>
  </si>
  <si>
    <t>2016-10-29T00:00:00.000000+00:00</t>
  </si>
  <si>
    <t>2016-10-27T00:00:00.000000+00:00</t>
  </si>
  <si>
    <t>SA29-2A</t>
  </si>
  <si>
    <t>SA33-2B</t>
  </si>
  <si>
    <t>SA38-2A</t>
  </si>
  <si>
    <t>SA46-2A</t>
  </si>
  <si>
    <t>SA50-2B</t>
  </si>
  <si>
    <t>SA53-2A</t>
  </si>
  <si>
    <t>SA29-2B</t>
  </si>
  <si>
    <t>-31¬∞ 29' 0.47"</t>
  </si>
  <si>
    <t>129¬∞ 30' 0.15"</t>
  </si>
  <si>
    <t>-31¬∞ 28' 56.47"</t>
  </si>
  <si>
    <t>129¬∞ 30' 0.08"</t>
  </si>
  <si>
    <t>-31¬∞ 0' 0.79"</t>
  </si>
  <si>
    <t>129¬∞ 58' 1.46"</t>
  </si>
  <si>
    <t>-30¬∞ 0' 3.29"</t>
  </si>
  <si>
    <t>130¬∞ 4' 9.92"</t>
  </si>
  <si>
    <t>-31¬∞ 30' 1.64"</t>
  </si>
  <si>
    <t>130¬∞ 29' 8.91"</t>
  </si>
  <si>
    <t>-31¬∞ 0' 16.90"</t>
  </si>
  <si>
    <t>130¬∞ 54' 25.72"</t>
  </si>
  <si>
    <t>-30¬∞ 34' 9.29"</t>
  </si>
  <si>
    <t>131¬∞ 0' 34.70"</t>
  </si>
  <si>
    <t>2019-06-17T00:00:00.000000+00:00</t>
  </si>
  <si>
    <t>2019-06-15T00:00:00.000000+00:00</t>
  </si>
  <si>
    <t>2019-06-13T00:00:00.000000+00:00</t>
  </si>
  <si>
    <t>2019-06-14T00:00:00.000000+00:00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</si>
</sst>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FEBC-C648-974D-8686-CD222D7AF348}">
  <dimension ref="A1:X365"/>
  <sheetViews>
    <sheetView tabSelected="1" topLeftCell="T337" workbookViewId="0">
      <selection activeCell="X370" sqref="X370"/>
    </sheetView>
  </sheetViews>
  <sheetFormatPr baseColWidth="10" defaultRowHeight="16" x14ac:dyDescent="0.2"/>
  <cols>
    <col min="1" max="1" width="11.83203125" bestFit="1" customWidth="1"/>
    <col min="2" max="2" width="13.33203125" bestFit="1" customWidth="1"/>
    <col min="3" max="3" width="14.5" bestFit="1" customWidth="1"/>
    <col min="4" max="14" width="14.5" customWidth="1"/>
    <col min="15" max="15" width="14.1640625" bestFit="1" customWidth="1"/>
    <col min="16" max="16" width="14.5" bestFit="1" customWidth="1"/>
    <col min="17" max="17" width="35.5" bestFit="1" customWidth="1"/>
    <col min="18" max="18" width="16.6640625" bestFit="1" customWidth="1"/>
    <col min="19" max="23" width="16.6640625" customWidth="1"/>
    <col min="24" max="24" width="136.1640625" bestFit="1" customWidth="1"/>
  </cols>
  <sheetData>
    <row r="1" spans="1:24" x14ac:dyDescent="0.2">
      <c r="A1" t="s">
        <v>56</v>
      </c>
      <c r="B1" t="s">
        <v>57</v>
      </c>
      <c r="C1" t="s">
        <v>58</v>
      </c>
      <c r="D1" t="s">
        <v>492</v>
      </c>
      <c r="E1" t="s">
        <v>493</v>
      </c>
      <c r="F1" t="s">
        <v>492</v>
      </c>
      <c r="G1" t="s">
        <v>493</v>
      </c>
      <c r="H1" t="s">
        <v>1133</v>
      </c>
      <c r="I1" t="s">
        <v>1130</v>
      </c>
      <c r="J1" t="s">
        <v>1131</v>
      </c>
      <c r="K1" t="s">
        <v>1132</v>
      </c>
      <c r="L1" t="s">
        <v>1134</v>
      </c>
      <c r="M1" t="s">
        <v>1135</v>
      </c>
      <c r="N1" t="s">
        <v>1136</v>
      </c>
      <c r="O1" t="s">
        <v>61</v>
      </c>
      <c r="P1" t="s">
        <v>60</v>
      </c>
      <c r="Q1" t="s">
        <v>67</v>
      </c>
      <c r="R1" t="s">
        <v>68</v>
      </c>
      <c r="S1" t="s">
        <v>1140</v>
      </c>
      <c r="T1" t="s">
        <v>1138</v>
      </c>
      <c r="U1" t="s">
        <v>1141</v>
      </c>
      <c r="V1" t="s">
        <v>1139</v>
      </c>
      <c r="W1" t="s">
        <v>1142</v>
      </c>
      <c r="X1" t="s">
        <v>1137</v>
      </c>
    </row>
    <row r="2" spans="1:24" ht="17" x14ac:dyDescent="0.25">
      <c r="A2" s="1" t="s">
        <v>0</v>
      </c>
      <c r="B2" s="1">
        <v>-28.530049999999999</v>
      </c>
      <c r="C2" s="1">
        <v>129.83407</v>
      </c>
      <c r="D2" t="s">
        <v>494</v>
      </c>
      <c r="E2" t="s">
        <v>495</v>
      </c>
      <c r="F2" t="str">
        <f>SUBSTITUTE(D2,"¬∞","°")</f>
        <v>-28° 31' 48.18"</v>
      </c>
      <c r="G2" t="str">
        <f>SUBSTITUTE(E2,"¬∞","°")</f>
        <v>129° 50' 2.65"</v>
      </c>
      <c r="H2" s="5">
        <f>IF(LEFT(F2,1)="-", -1, 1) * VALUE(LEFT(F2, FIND("°", F2)-1))</f>
        <v>28</v>
      </c>
      <c r="I2" s="5">
        <f>-H2</f>
        <v>-28</v>
      </c>
      <c r="J2" s="5">
        <f>VALUE(MID(F2, FIND("°",F2)+2, FIND("'",F2)-FIND("°", F2)-2))</f>
        <v>31</v>
      </c>
      <c r="K2" s="5">
        <f>VALUE(MID(F2, FIND("'", F2)+2, FIND("""", F2)-FIND("'", F2)-2))</f>
        <v>48.18</v>
      </c>
      <c r="L2" s="5">
        <f>IF(LEFT(G2,1)="-", -1, 1) * VALUE(LEFT(G2, FIND("°", G2)-1))</f>
        <v>129</v>
      </c>
      <c r="M2" s="5">
        <f>VALUE(MID(G2, FIND("°",G2)+2, FIND("'",G2)-FIND("°", G2)-2))</f>
        <v>50</v>
      </c>
      <c r="N2" s="5">
        <f>VALUE(MID(G2, FIND("'", G2)+2, FIND("""",G2)-FIND("'", G2)-2))</f>
        <v>2.65</v>
      </c>
      <c r="O2" s="1">
        <v>374</v>
      </c>
      <c r="P2">
        <f>O2/1000</f>
        <v>0.374</v>
      </c>
      <c r="Q2" s="1" t="s">
        <v>84</v>
      </c>
      <c r="R2" t="str">
        <f>TEXT(DATEVALUE(LEFT(Q2,10)), "dd/mm/yyyy")</f>
        <v>17/10/2015</v>
      </c>
      <c r="S2">
        <f>YEAR(R2)</f>
        <v>2015</v>
      </c>
      <c r="T2">
        <f>MONTH(R2)</f>
        <v>10</v>
      </c>
      <c r="U2" t="str">
        <f>TEXT(T2, "00")</f>
        <v>10</v>
      </c>
      <c r="V2">
        <f>DAY(R2)</f>
        <v>17</v>
      </c>
      <c r="W2" t="str">
        <f>TEXT(V2,"00")</f>
        <v>17</v>
      </c>
      <c r="X2" t="str">
        <f>CONCATENATE(
    "https://api.geomagnetism.ga.gov.au/agrf?",
    "latd=", I2,
    "&amp;latm=", J2,
    "&amp;lats=", K2,
    "&amp;lond=", L2,
    "&amp;lonm=", M2,
    "&amp;lons=", N2,
    "&amp;year=", S2,
    "&amp;month=", U2,
    "&amp;day=", W2,
    "&amp;elev=", P2,
    "&amp;Ein=D",
    "&amp;Ein=d"
)</f>
        <v>https://api.geomagnetism.ga.gov.au/agrf?latd=-28&amp;latm=31&amp;lats=48.18&amp;lond=129&amp;lonm=50&amp;lons=2.65&amp;year=2015&amp;month=10&amp;day=17&amp;elev=0.374&amp;Ein=D&amp;Ein=d</v>
      </c>
    </row>
    <row r="3" spans="1:24" ht="17" x14ac:dyDescent="0.25">
      <c r="A3" s="1" t="s">
        <v>1</v>
      </c>
      <c r="B3" s="1">
        <v>-28.49409</v>
      </c>
      <c r="C3" s="1">
        <v>129.33244999999999</v>
      </c>
      <c r="D3" t="s">
        <v>496</v>
      </c>
      <c r="E3" t="s">
        <v>497</v>
      </c>
      <c r="F3" t="str">
        <f t="shared" ref="F3:F66" si="0">SUBSTITUTE(D3,"¬∞","°")</f>
        <v>-28° 29' 38.72"</v>
      </c>
      <c r="G3" t="str">
        <f t="shared" ref="G3:G66" si="1">SUBSTITUTE(E3,"¬∞","°")</f>
        <v>129° 19' 56.82"</v>
      </c>
      <c r="H3" s="5">
        <f t="shared" ref="H3:H66" si="2">IF(LEFT(F3,1)="-", -1, 1) * VALUE(LEFT(F3, FIND("°", F3)-1))</f>
        <v>28</v>
      </c>
      <c r="I3" s="5">
        <f t="shared" ref="I3:I66" si="3">-H3</f>
        <v>-28</v>
      </c>
      <c r="J3" s="5">
        <f t="shared" ref="J3:J66" si="4">VALUE(MID(F3, FIND("°",F3)+2, FIND("'",F3)-FIND("°", F3)-2))</f>
        <v>29</v>
      </c>
      <c r="K3" s="5">
        <f t="shared" ref="K3:K66" si="5">VALUE(MID(F3, FIND("'", F3)+2, FIND("""", F3)-FIND("'", F3)-2))</f>
        <v>38.72</v>
      </c>
      <c r="L3" s="5">
        <f t="shared" ref="L3:L66" si="6">IF(LEFT(G3,1)="-", -1, 1) * VALUE(LEFT(G3, FIND("°", G3)-1))</f>
        <v>129</v>
      </c>
      <c r="M3" s="5">
        <f t="shared" ref="M3:M66" si="7">VALUE(MID(G3, FIND("°",G3)+2, FIND("'",G3)-FIND("°", G3)-2))</f>
        <v>19</v>
      </c>
      <c r="N3" s="5">
        <f t="shared" ref="N3:N66" si="8">VALUE(MID(G3, FIND("'", G3)+2, FIND("""",G3)-FIND("'", G3)-2))</f>
        <v>56.82</v>
      </c>
      <c r="O3" s="1">
        <v>334</v>
      </c>
      <c r="P3">
        <f t="shared" ref="P3:P66" si="9">O3/1000</f>
        <v>0.33400000000000002</v>
      </c>
      <c r="Q3" s="1" t="s">
        <v>85</v>
      </c>
      <c r="R3" t="str">
        <f t="shared" ref="R3:R66" si="10">TEXT(DATEVALUE(LEFT(Q3,10)), "dd/mm/yyyy")</f>
        <v>16/10/2015</v>
      </c>
      <c r="S3">
        <f t="shared" ref="S3:S66" si="11">YEAR(R3)</f>
        <v>2015</v>
      </c>
      <c r="T3">
        <f t="shared" ref="T3:T66" si="12">MONTH(R3)</f>
        <v>10</v>
      </c>
      <c r="U3" t="str">
        <f t="shared" ref="U3:U66" si="13">TEXT(T3, "00")</f>
        <v>10</v>
      </c>
      <c r="V3">
        <f t="shared" ref="V3:V66" si="14">DAY(R3)</f>
        <v>16</v>
      </c>
      <c r="W3" t="str">
        <f t="shared" ref="W3:W66" si="15">TEXT(V3,"00")</f>
        <v>16</v>
      </c>
      <c r="X3" t="str">
        <f t="shared" ref="X3:X66" si="16">CONCATENATE(
    "https://api.geomagnetism.ga.gov.au/agrf?",
    "latd=", I3,
    "&amp;latm=", J3,
    "&amp;lats=", K3,
    "&amp;lond=", L3,
    "&amp;lonm=", M3,
    "&amp;lons=", N3,
    "&amp;year=", S3,
    "&amp;month=", U3,
    "&amp;day=", W3,
    "&amp;elev=", P3,
    "&amp;Ein=D",
    "&amp;Ein=d"
)</f>
        <v>https://api.geomagnetism.ga.gov.au/agrf?latd=-28&amp;latm=29&amp;lats=38.72&amp;lond=129&amp;lonm=19&amp;lons=56.82&amp;year=2015&amp;month=10&amp;day=16&amp;elev=0.334&amp;Ein=D&amp;Ein=d</v>
      </c>
    </row>
    <row r="4" spans="1:24" ht="17" x14ac:dyDescent="0.25">
      <c r="A4" s="1" t="s">
        <v>2</v>
      </c>
      <c r="B4" s="1">
        <v>-28.49399</v>
      </c>
      <c r="C4" s="1">
        <v>129.33349999999999</v>
      </c>
      <c r="D4" t="s">
        <v>498</v>
      </c>
      <c r="E4" t="s">
        <v>499</v>
      </c>
      <c r="F4" t="str">
        <f t="shared" si="0"/>
        <v>-28° 29' 38.36"</v>
      </c>
      <c r="G4" t="str">
        <f t="shared" si="1"/>
        <v>129° 20' 0.60"</v>
      </c>
      <c r="H4" s="5">
        <f t="shared" si="2"/>
        <v>28</v>
      </c>
      <c r="I4" s="5">
        <f t="shared" si="3"/>
        <v>-28</v>
      </c>
      <c r="J4" s="5">
        <f t="shared" si="4"/>
        <v>29</v>
      </c>
      <c r="K4" s="5">
        <f t="shared" si="5"/>
        <v>38.36</v>
      </c>
      <c r="L4" s="5">
        <f t="shared" si="6"/>
        <v>129</v>
      </c>
      <c r="M4" s="5">
        <f t="shared" si="7"/>
        <v>20</v>
      </c>
      <c r="N4" s="5">
        <f t="shared" si="8"/>
        <v>0.6</v>
      </c>
      <c r="O4" s="1">
        <v>334</v>
      </c>
      <c r="P4">
        <f t="shared" si="9"/>
        <v>0.33400000000000002</v>
      </c>
      <c r="Q4" s="1" t="s">
        <v>86</v>
      </c>
      <c r="R4" t="str">
        <f t="shared" si="10"/>
        <v>17/08/2017</v>
      </c>
      <c r="S4">
        <f t="shared" si="11"/>
        <v>2017</v>
      </c>
      <c r="T4">
        <f t="shared" si="12"/>
        <v>8</v>
      </c>
      <c r="U4" t="str">
        <f t="shared" si="13"/>
        <v>08</v>
      </c>
      <c r="V4">
        <f t="shared" si="14"/>
        <v>17</v>
      </c>
      <c r="W4" t="str">
        <f t="shared" si="15"/>
        <v>17</v>
      </c>
      <c r="X4" t="str">
        <f t="shared" si="16"/>
        <v>https://api.geomagnetism.ga.gov.au/agrf?latd=-28&amp;latm=29&amp;lats=38.36&amp;lond=129&amp;lonm=20&amp;lons=0.6&amp;year=2017&amp;month=08&amp;day=17&amp;elev=0.334&amp;Ein=D&amp;Ein=d</v>
      </c>
    </row>
    <row r="5" spans="1:24" ht="17" x14ac:dyDescent="0.25">
      <c r="A5" s="1" t="s">
        <v>3</v>
      </c>
      <c r="B5" s="1">
        <v>-30.00281</v>
      </c>
      <c r="C5" s="1">
        <v>129.52107000000001</v>
      </c>
      <c r="D5" t="s">
        <v>500</v>
      </c>
      <c r="E5" t="s">
        <v>501</v>
      </c>
      <c r="F5" t="str">
        <f t="shared" si="0"/>
        <v>-30° 0' 10.12"</v>
      </c>
      <c r="G5" t="str">
        <f t="shared" si="1"/>
        <v>129° 31' 15.85"</v>
      </c>
      <c r="H5" s="5">
        <f t="shared" si="2"/>
        <v>30</v>
      </c>
      <c r="I5" s="5">
        <f t="shared" si="3"/>
        <v>-30</v>
      </c>
      <c r="J5" s="5">
        <f t="shared" si="4"/>
        <v>0</v>
      </c>
      <c r="K5" s="5">
        <f t="shared" si="5"/>
        <v>10.119999999999999</v>
      </c>
      <c r="L5" s="5">
        <f t="shared" si="6"/>
        <v>129</v>
      </c>
      <c r="M5" s="5">
        <f t="shared" si="7"/>
        <v>31</v>
      </c>
      <c r="N5" s="5">
        <f t="shared" si="8"/>
        <v>15.85</v>
      </c>
      <c r="O5" s="1">
        <v>0</v>
      </c>
      <c r="P5">
        <f t="shared" si="9"/>
        <v>0</v>
      </c>
      <c r="Q5" s="1" t="s">
        <v>87</v>
      </c>
      <c r="R5" t="str">
        <f t="shared" si="10"/>
        <v>16/11/2015</v>
      </c>
      <c r="S5">
        <f t="shared" si="11"/>
        <v>2015</v>
      </c>
      <c r="T5">
        <f t="shared" si="12"/>
        <v>11</v>
      </c>
      <c r="U5" t="str">
        <f t="shared" si="13"/>
        <v>11</v>
      </c>
      <c r="V5">
        <f t="shared" si="14"/>
        <v>16</v>
      </c>
      <c r="W5" t="str">
        <f t="shared" si="15"/>
        <v>16</v>
      </c>
      <c r="X5" t="str">
        <f t="shared" si="16"/>
        <v>https://api.geomagnetism.ga.gov.au/agrf?latd=-30&amp;latm=0&amp;lats=10.12&amp;lond=129&amp;lonm=31&amp;lons=15.85&amp;year=2015&amp;month=11&amp;day=16&amp;elev=0&amp;Ein=D&amp;Ein=d</v>
      </c>
    </row>
    <row r="6" spans="1:24" ht="17" x14ac:dyDescent="0.25">
      <c r="A6" s="1" t="s">
        <v>4</v>
      </c>
      <c r="B6" s="1">
        <v>-29.986540000000002</v>
      </c>
      <c r="C6" s="1">
        <v>129.51058</v>
      </c>
      <c r="D6" t="s">
        <v>502</v>
      </c>
      <c r="E6" t="s">
        <v>503</v>
      </c>
      <c r="F6" t="str">
        <f t="shared" si="0"/>
        <v>-29° 59' 11.54"</v>
      </c>
      <c r="G6" t="str">
        <f t="shared" si="1"/>
        <v>129° 30' 38.09"</v>
      </c>
      <c r="H6" s="5">
        <f t="shared" si="2"/>
        <v>29</v>
      </c>
      <c r="I6" s="5">
        <f t="shared" si="3"/>
        <v>-29</v>
      </c>
      <c r="J6" s="5">
        <f t="shared" si="4"/>
        <v>59</v>
      </c>
      <c r="K6" s="5">
        <f t="shared" si="5"/>
        <v>11.54</v>
      </c>
      <c r="L6" s="5">
        <f t="shared" si="6"/>
        <v>129</v>
      </c>
      <c r="M6" s="5">
        <f t="shared" si="7"/>
        <v>30</v>
      </c>
      <c r="N6" s="5">
        <f t="shared" si="8"/>
        <v>38.090000000000003</v>
      </c>
      <c r="O6" s="1">
        <v>0</v>
      </c>
      <c r="P6">
        <f t="shared" si="9"/>
        <v>0</v>
      </c>
      <c r="Q6" s="1" t="s">
        <v>87</v>
      </c>
      <c r="R6" t="str">
        <f t="shared" si="10"/>
        <v>16/11/2015</v>
      </c>
      <c r="S6">
        <f t="shared" si="11"/>
        <v>2015</v>
      </c>
      <c r="T6">
        <f t="shared" si="12"/>
        <v>11</v>
      </c>
      <c r="U6" t="str">
        <f t="shared" si="13"/>
        <v>11</v>
      </c>
      <c r="V6">
        <f t="shared" si="14"/>
        <v>16</v>
      </c>
      <c r="W6" t="str">
        <f t="shared" si="15"/>
        <v>16</v>
      </c>
      <c r="X6" t="str">
        <f t="shared" si="16"/>
        <v>https://api.geomagnetism.ga.gov.au/agrf?latd=-29&amp;latm=59&amp;lats=11.54&amp;lond=129&amp;lonm=30&amp;lons=38.09&amp;year=2015&amp;month=11&amp;day=16&amp;elev=0&amp;Ein=D&amp;Ein=d</v>
      </c>
    </row>
    <row r="7" spans="1:24" ht="17" x14ac:dyDescent="0.25">
      <c r="A7" s="1" t="s">
        <v>5</v>
      </c>
      <c r="B7" s="1">
        <v>-30.572669999999999</v>
      </c>
      <c r="C7" s="1">
        <v>129.49163999999999</v>
      </c>
      <c r="D7" t="s">
        <v>504</v>
      </c>
      <c r="E7" t="s">
        <v>505</v>
      </c>
      <c r="F7" t="str">
        <f t="shared" si="0"/>
        <v>-30° 34' 21.61"</v>
      </c>
      <c r="G7" t="str">
        <f t="shared" si="1"/>
        <v>129° 29' 29.90"</v>
      </c>
      <c r="H7" s="5">
        <f t="shared" si="2"/>
        <v>30</v>
      </c>
      <c r="I7" s="5">
        <f t="shared" si="3"/>
        <v>-30</v>
      </c>
      <c r="J7" s="5">
        <f t="shared" si="4"/>
        <v>34</v>
      </c>
      <c r="K7" s="5">
        <f t="shared" si="5"/>
        <v>21.61</v>
      </c>
      <c r="L7" s="5">
        <f t="shared" si="6"/>
        <v>129</v>
      </c>
      <c r="M7" s="5">
        <f t="shared" si="7"/>
        <v>29</v>
      </c>
      <c r="N7" s="5">
        <f t="shared" si="8"/>
        <v>29.9</v>
      </c>
      <c r="O7" s="1">
        <v>0</v>
      </c>
      <c r="P7">
        <f t="shared" si="9"/>
        <v>0</v>
      </c>
      <c r="Q7" s="1" t="s">
        <v>66</v>
      </c>
      <c r="R7" t="str">
        <f t="shared" si="10"/>
        <v>20/10/2015</v>
      </c>
      <c r="S7">
        <f t="shared" si="11"/>
        <v>2015</v>
      </c>
      <c r="T7">
        <f t="shared" si="12"/>
        <v>10</v>
      </c>
      <c r="U7" t="str">
        <f t="shared" si="13"/>
        <v>10</v>
      </c>
      <c r="V7">
        <f t="shared" si="14"/>
        <v>20</v>
      </c>
      <c r="W7" t="str">
        <f t="shared" si="15"/>
        <v>20</v>
      </c>
      <c r="X7" t="str">
        <f t="shared" si="16"/>
        <v>https://api.geomagnetism.ga.gov.au/agrf?latd=-30&amp;latm=34&amp;lats=21.61&amp;lond=129&amp;lonm=29&amp;lons=29.9&amp;year=2015&amp;month=10&amp;day=20&amp;elev=0&amp;Ein=D&amp;Ein=d</v>
      </c>
    </row>
    <row r="8" spans="1:24" ht="17" x14ac:dyDescent="0.25">
      <c r="A8" s="1" t="s">
        <v>6</v>
      </c>
      <c r="B8" s="1">
        <v>-31.483889999999999</v>
      </c>
      <c r="C8" s="1">
        <v>129.50056000000001</v>
      </c>
      <c r="D8" t="s">
        <v>506</v>
      </c>
      <c r="E8" t="s">
        <v>507</v>
      </c>
      <c r="F8" t="str">
        <f t="shared" si="0"/>
        <v>-31° 29' 2.00"</v>
      </c>
      <c r="G8" t="str">
        <f t="shared" si="1"/>
        <v>129° 30' 2.02"</v>
      </c>
      <c r="H8" s="5">
        <f t="shared" si="2"/>
        <v>31</v>
      </c>
      <c r="I8" s="5">
        <f t="shared" si="3"/>
        <v>-31</v>
      </c>
      <c r="J8" s="5">
        <f t="shared" si="4"/>
        <v>29</v>
      </c>
      <c r="K8" s="5">
        <f>VALUE(MID(F8, FIND("'", F8)+2, FIND("""", F8)-FIND("'", F8)-2))</f>
        <v>2</v>
      </c>
      <c r="L8" s="5">
        <f t="shared" si="6"/>
        <v>129</v>
      </c>
      <c r="M8" s="5">
        <f t="shared" si="7"/>
        <v>30</v>
      </c>
      <c r="N8" s="5">
        <f t="shared" si="8"/>
        <v>2.02</v>
      </c>
      <c r="O8" s="1">
        <v>0</v>
      </c>
      <c r="P8">
        <f t="shared" si="9"/>
        <v>0</v>
      </c>
      <c r="Q8" s="1" t="s">
        <v>63</v>
      </c>
      <c r="R8" t="str">
        <f t="shared" si="10"/>
        <v>15/11/2015</v>
      </c>
      <c r="S8">
        <f t="shared" si="11"/>
        <v>2015</v>
      </c>
      <c r="T8">
        <f t="shared" si="12"/>
        <v>11</v>
      </c>
      <c r="U8" t="str">
        <f t="shared" si="13"/>
        <v>11</v>
      </c>
      <c r="V8">
        <f t="shared" si="14"/>
        <v>15</v>
      </c>
      <c r="W8" t="str">
        <f t="shared" si="15"/>
        <v>15</v>
      </c>
      <c r="X8" t="str">
        <f t="shared" si="16"/>
        <v>https://api.geomagnetism.ga.gov.au/agrf?latd=-31&amp;latm=29&amp;lats=2&amp;lond=129&amp;lonm=30&amp;lons=2.02&amp;year=2015&amp;month=11&amp;day=15&amp;elev=0&amp;Ein=D&amp;Ein=d</v>
      </c>
    </row>
    <row r="9" spans="1:24" ht="17" x14ac:dyDescent="0.25">
      <c r="A9" s="1" t="s">
        <v>7</v>
      </c>
      <c r="B9" s="1">
        <v>-29.464179999999999</v>
      </c>
      <c r="C9" s="1">
        <v>129.50899999999999</v>
      </c>
      <c r="D9" t="s">
        <v>508</v>
      </c>
      <c r="E9" t="s">
        <v>509</v>
      </c>
      <c r="F9" t="str">
        <f t="shared" si="0"/>
        <v>-29° 27' 51.05"</v>
      </c>
      <c r="G9" t="str">
        <f t="shared" si="1"/>
        <v>129° 30' 32.40"</v>
      </c>
      <c r="H9" s="5">
        <f t="shared" si="2"/>
        <v>29</v>
      </c>
      <c r="I9" s="5">
        <f t="shared" si="3"/>
        <v>-29</v>
      </c>
      <c r="J9" s="5">
        <f t="shared" si="4"/>
        <v>27</v>
      </c>
      <c r="K9" s="5">
        <f t="shared" si="5"/>
        <v>51.05</v>
      </c>
      <c r="L9" s="5">
        <f t="shared" si="6"/>
        <v>129</v>
      </c>
      <c r="M9" s="5">
        <f t="shared" si="7"/>
        <v>30</v>
      </c>
      <c r="N9" s="5">
        <f t="shared" si="8"/>
        <v>32.4</v>
      </c>
      <c r="O9" s="1">
        <v>218</v>
      </c>
      <c r="P9">
        <f t="shared" si="9"/>
        <v>0.218</v>
      </c>
      <c r="Q9" s="1" t="s">
        <v>88</v>
      </c>
      <c r="R9" t="str">
        <f t="shared" si="10"/>
        <v>20/09/2015</v>
      </c>
      <c r="S9">
        <f t="shared" si="11"/>
        <v>2015</v>
      </c>
      <c r="T9">
        <f t="shared" si="12"/>
        <v>9</v>
      </c>
      <c r="U9" t="str">
        <f t="shared" si="13"/>
        <v>09</v>
      </c>
      <c r="V9">
        <f t="shared" si="14"/>
        <v>20</v>
      </c>
      <c r="W9" t="str">
        <f t="shared" si="15"/>
        <v>20</v>
      </c>
      <c r="X9" t="str">
        <f t="shared" si="16"/>
        <v>https://api.geomagnetism.ga.gov.au/agrf?latd=-29&amp;latm=27&amp;lats=51.05&amp;lond=129&amp;lonm=30&amp;lons=32.4&amp;year=2015&amp;month=09&amp;day=20&amp;elev=0.218&amp;Ein=D&amp;Ein=d</v>
      </c>
    </row>
    <row r="10" spans="1:24" ht="17" x14ac:dyDescent="0.25">
      <c r="A10" s="1" t="s">
        <v>8</v>
      </c>
      <c r="B10" s="1">
        <v>-28.99934</v>
      </c>
      <c r="C10" s="1">
        <v>129.54615999999999</v>
      </c>
      <c r="D10" t="s">
        <v>510</v>
      </c>
      <c r="E10" t="s">
        <v>511</v>
      </c>
      <c r="F10" t="str">
        <f t="shared" si="0"/>
        <v>-28° 59' 57.62"</v>
      </c>
      <c r="G10" t="str">
        <f t="shared" si="1"/>
        <v>129° 32' 46.18"</v>
      </c>
      <c r="H10" s="5">
        <f t="shared" si="2"/>
        <v>28</v>
      </c>
      <c r="I10" s="5">
        <f t="shared" si="3"/>
        <v>-28</v>
      </c>
      <c r="J10" s="5">
        <f t="shared" si="4"/>
        <v>59</v>
      </c>
      <c r="K10" s="5">
        <f t="shared" si="5"/>
        <v>57.62</v>
      </c>
      <c r="L10" s="5">
        <f t="shared" si="6"/>
        <v>129</v>
      </c>
      <c r="M10" s="5">
        <f t="shared" si="7"/>
        <v>32</v>
      </c>
      <c r="N10" s="5">
        <f t="shared" si="8"/>
        <v>46.18</v>
      </c>
      <c r="O10" s="1">
        <v>282</v>
      </c>
      <c r="P10">
        <f t="shared" si="9"/>
        <v>0.28199999999999997</v>
      </c>
      <c r="Q10" s="1" t="s">
        <v>88</v>
      </c>
      <c r="R10" t="str">
        <f t="shared" si="10"/>
        <v>20/09/2015</v>
      </c>
      <c r="S10">
        <f t="shared" si="11"/>
        <v>2015</v>
      </c>
      <c r="T10">
        <f t="shared" si="12"/>
        <v>9</v>
      </c>
      <c r="U10" t="str">
        <f t="shared" si="13"/>
        <v>09</v>
      </c>
      <c r="V10">
        <f t="shared" si="14"/>
        <v>20</v>
      </c>
      <c r="W10" t="str">
        <f t="shared" si="15"/>
        <v>20</v>
      </c>
      <c r="X10" t="str">
        <f t="shared" si="16"/>
        <v>https://api.geomagnetism.ga.gov.au/agrf?latd=-28&amp;latm=59&amp;lats=57.62&amp;lond=129&amp;lonm=32&amp;lons=46.18&amp;year=2015&amp;month=09&amp;day=20&amp;elev=0.282&amp;Ein=D&amp;Ein=d</v>
      </c>
    </row>
    <row r="11" spans="1:24" ht="17" x14ac:dyDescent="0.25">
      <c r="A11" s="1" t="s">
        <v>9</v>
      </c>
      <c r="B11" s="1">
        <v>-30.996449999999999</v>
      </c>
      <c r="C11" s="1">
        <v>129.46689000000001</v>
      </c>
      <c r="D11" t="s">
        <v>512</v>
      </c>
      <c r="E11" t="s">
        <v>513</v>
      </c>
      <c r="F11" t="str">
        <f t="shared" si="0"/>
        <v>-30° 59' 47.22"</v>
      </c>
      <c r="G11" t="str">
        <f t="shared" si="1"/>
        <v>129° 28' 0.80"</v>
      </c>
      <c r="H11" s="5">
        <f t="shared" si="2"/>
        <v>30</v>
      </c>
      <c r="I11" s="5">
        <f t="shared" si="3"/>
        <v>-30</v>
      </c>
      <c r="J11" s="5">
        <f t="shared" si="4"/>
        <v>59</v>
      </c>
      <c r="K11" s="5">
        <f t="shared" si="5"/>
        <v>47.22</v>
      </c>
      <c r="L11" s="5">
        <f t="shared" si="6"/>
        <v>129</v>
      </c>
      <c r="M11" s="5">
        <f t="shared" si="7"/>
        <v>28</v>
      </c>
      <c r="N11" s="5">
        <f t="shared" si="8"/>
        <v>0.8</v>
      </c>
      <c r="O11" s="1">
        <v>128</v>
      </c>
      <c r="P11">
        <f t="shared" si="9"/>
        <v>0.128</v>
      </c>
      <c r="Q11" s="1" t="s">
        <v>89</v>
      </c>
      <c r="R11" t="str">
        <f t="shared" si="10"/>
        <v>21/10/2015</v>
      </c>
      <c r="S11">
        <f t="shared" si="11"/>
        <v>2015</v>
      </c>
      <c r="T11">
        <f t="shared" si="12"/>
        <v>10</v>
      </c>
      <c r="U11" t="str">
        <f t="shared" si="13"/>
        <v>10</v>
      </c>
      <c r="V11">
        <f t="shared" si="14"/>
        <v>21</v>
      </c>
      <c r="W11" t="str">
        <f t="shared" si="15"/>
        <v>21</v>
      </c>
      <c r="X11" t="str">
        <f t="shared" si="16"/>
        <v>https://api.geomagnetism.ga.gov.au/agrf?latd=-30&amp;latm=59&amp;lats=47.22&amp;lond=129&amp;lonm=28&amp;lons=0.8&amp;year=2015&amp;month=10&amp;day=21&amp;elev=0.128&amp;Ein=D&amp;Ein=d</v>
      </c>
    </row>
    <row r="12" spans="1:24" ht="17" x14ac:dyDescent="0.25">
      <c r="A12" s="1" t="s">
        <v>10</v>
      </c>
      <c r="B12" s="1">
        <v>-31.000900000000001</v>
      </c>
      <c r="C12" s="1">
        <v>129.92795000000001</v>
      </c>
      <c r="D12" t="s">
        <v>514</v>
      </c>
      <c r="E12" t="s">
        <v>515</v>
      </c>
      <c r="F12" t="str">
        <f t="shared" si="0"/>
        <v>-31° 0' 3.24"</v>
      </c>
      <c r="G12" t="str">
        <f t="shared" si="1"/>
        <v>129° 55' 40.62"</v>
      </c>
      <c r="H12" s="5">
        <f t="shared" si="2"/>
        <v>31</v>
      </c>
      <c r="I12" s="5">
        <f t="shared" si="3"/>
        <v>-31</v>
      </c>
      <c r="J12" s="5">
        <f t="shared" si="4"/>
        <v>0</v>
      </c>
      <c r="K12" s="5">
        <f t="shared" si="5"/>
        <v>3.24</v>
      </c>
      <c r="L12" s="5">
        <f t="shared" si="6"/>
        <v>129</v>
      </c>
      <c r="M12" s="5">
        <f t="shared" si="7"/>
        <v>55</v>
      </c>
      <c r="N12" s="5">
        <f t="shared" si="8"/>
        <v>40.619999999999997</v>
      </c>
      <c r="O12" s="1">
        <v>118</v>
      </c>
      <c r="P12">
        <f t="shared" si="9"/>
        <v>0.11799999999999999</v>
      </c>
      <c r="Q12" s="1" t="s">
        <v>89</v>
      </c>
      <c r="R12" t="str">
        <f t="shared" si="10"/>
        <v>21/10/2015</v>
      </c>
      <c r="S12">
        <f t="shared" si="11"/>
        <v>2015</v>
      </c>
      <c r="T12">
        <f t="shared" si="12"/>
        <v>10</v>
      </c>
      <c r="U12" t="str">
        <f t="shared" si="13"/>
        <v>10</v>
      </c>
      <c r="V12">
        <f t="shared" si="14"/>
        <v>21</v>
      </c>
      <c r="W12" t="str">
        <f t="shared" si="15"/>
        <v>21</v>
      </c>
      <c r="X12" t="str">
        <f t="shared" si="16"/>
        <v>https://api.geomagnetism.ga.gov.au/agrf?latd=-31&amp;latm=0&amp;lats=3.24&amp;lond=129&amp;lonm=55&amp;lons=40.62&amp;year=2015&amp;month=10&amp;day=21&amp;elev=0.118&amp;Ein=D&amp;Ein=d</v>
      </c>
    </row>
    <row r="13" spans="1:24" ht="17" x14ac:dyDescent="0.25">
      <c r="A13" s="1" t="s">
        <v>11</v>
      </c>
      <c r="B13" s="1">
        <v>-28.538409999999999</v>
      </c>
      <c r="C13" s="1">
        <v>130.11497</v>
      </c>
      <c r="D13" t="s">
        <v>516</v>
      </c>
      <c r="E13" t="s">
        <v>517</v>
      </c>
      <c r="F13" t="str">
        <f t="shared" si="0"/>
        <v>-28° 32' 18.28"</v>
      </c>
      <c r="G13" t="str">
        <f t="shared" si="1"/>
        <v>130° 6' 53.89"</v>
      </c>
      <c r="H13" s="5">
        <f t="shared" si="2"/>
        <v>28</v>
      </c>
      <c r="I13" s="5">
        <f t="shared" si="3"/>
        <v>-28</v>
      </c>
      <c r="J13" s="5">
        <f t="shared" si="4"/>
        <v>32</v>
      </c>
      <c r="K13" s="5">
        <f t="shared" si="5"/>
        <v>18.28</v>
      </c>
      <c r="L13" s="5">
        <f t="shared" si="6"/>
        <v>130</v>
      </c>
      <c r="M13" s="5">
        <f t="shared" si="7"/>
        <v>6</v>
      </c>
      <c r="N13" s="5">
        <f t="shared" si="8"/>
        <v>53.89</v>
      </c>
      <c r="O13" s="1">
        <v>367</v>
      </c>
      <c r="P13">
        <f t="shared" si="9"/>
        <v>0.36699999999999999</v>
      </c>
      <c r="Q13" s="1" t="s">
        <v>85</v>
      </c>
      <c r="R13" t="str">
        <f t="shared" si="10"/>
        <v>16/10/2015</v>
      </c>
      <c r="S13">
        <f t="shared" si="11"/>
        <v>2015</v>
      </c>
      <c r="T13">
        <f t="shared" si="12"/>
        <v>10</v>
      </c>
      <c r="U13" t="str">
        <f t="shared" si="13"/>
        <v>10</v>
      </c>
      <c r="V13">
        <f t="shared" si="14"/>
        <v>16</v>
      </c>
      <c r="W13" t="str">
        <f t="shared" si="15"/>
        <v>16</v>
      </c>
      <c r="X13" t="str">
        <f t="shared" si="16"/>
        <v>https://api.geomagnetism.ga.gov.au/agrf?latd=-28&amp;latm=32&amp;lats=18.28&amp;lond=130&amp;lonm=6&amp;lons=53.89&amp;year=2015&amp;month=10&amp;day=16&amp;elev=0.367&amp;Ein=D&amp;Ein=d</v>
      </c>
    </row>
    <row r="14" spans="1:24" ht="17" x14ac:dyDescent="0.25">
      <c r="A14" s="1" t="s">
        <v>12</v>
      </c>
      <c r="B14" s="1">
        <v>-28.994009999999999</v>
      </c>
      <c r="C14" s="1">
        <v>129.98172</v>
      </c>
      <c r="D14" t="s">
        <v>518</v>
      </c>
      <c r="E14" t="s">
        <v>519</v>
      </c>
      <c r="F14" t="str">
        <f t="shared" si="0"/>
        <v>-28° 59' 38.44"</v>
      </c>
      <c r="G14" t="str">
        <f t="shared" si="1"/>
        <v>129° 58' 54.19"</v>
      </c>
      <c r="H14" s="5">
        <f t="shared" si="2"/>
        <v>28</v>
      </c>
      <c r="I14" s="5">
        <f t="shared" si="3"/>
        <v>-28</v>
      </c>
      <c r="J14" s="5">
        <f t="shared" si="4"/>
        <v>59</v>
      </c>
      <c r="K14" s="5">
        <f t="shared" si="5"/>
        <v>38.44</v>
      </c>
      <c r="L14" s="5">
        <f t="shared" si="6"/>
        <v>129</v>
      </c>
      <c r="M14" s="5">
        <f t="shared" si="7"/>
        <v>58</v>
      </c>
      <c r="N14" s="5">
        <f t="shared" si="8"/>
        <v>54.19</v>
      </c>
      <c r="O14" s="1">
        <v>248</v>
      </c>
      <c r="P14">
        <f t="shared" si="9"/>
        <v>0.248</v>
      </c>
      <c r="Q14" s="1" t="s">
        <v>88</v>
      </c>
      <c r="R14" t="str">
        <f t="shared" si="10"/>
        <v>20/09/2015</v>
      </c>
      <c r="S14">
        <f t="shared" si="11"/>
        <v>2015</v>
      </c>
      <c r="T14">
        <f t="shared" si="12"/>
        <v>9</v>
      </c>
      <c r="U14" t="str">
        <f t="shared" si="13"/>
        <v>09</v>
      </c>
      <c r="V14">
        <f t="shared" si="14"/>
        <v>20</v>
      </c>
      <c r="W14" t="str">
        <f t="shared" si="15"/>
        <v>20</v>
      </c>
      <c r="X14" t="str">
        <f t="shared" si="16"/>
        <v>https://api.geomagnetism.ga.gov.au/agrf?latd=-28&amp;latm=59&amp;lats=38.44&amp;lond=129&amp;lonm=58&amp;lons=54.19&amp;year=2015&amp;month=09&amp;day=20&amp;elev=0.248&amp;Ein=D&amp;Ein=d</v>
      </c>
    </row>
    <row r="15" spans="1:24" ht="17" x14ac:dyDescent="0.25">
      <c r="A15" s="1" t="s">
        <v>13</v>
      </c>
      <c r="B15" s="1">
        <v>-31.481549999999999</v>
      </c>
      <c r="C15" s="1">
        <v>130.01150000000001</v>
      </c>
      <c r="D15" t="s">
        <v>520</v>
      </c>
      <c r="E15" t="s">
        <v>521</v>
      </c>
      <c r="F15" t="str">
        <f t="shared" si="0"/>
        <v>-31° 28' 53.58"</v>
      </c>
      <c r="G15" t="str">
        <f t="shared" si="1"/>
        <v>130° 0' 41.40"</v>
      </c>
      <c r="H15" s="5">
        <f t="shared" si="2"/>
        <v>31</v>
      </c>
      <c r="I15" s="5">
        <f t="shared" si="3"/>
        <v>-31</v>
      </c>
      <c r="J15" s="5">
        <f t="shared" si="4"/>
        <v>28</v>
      </c>
      <c r="K15" s="5">
        <f t="shared" si="5"/>
        <v>53.58</v>
      </c>
      <c r="L15" s="5">
        <f t="shared" si="6"/>
        <v>130</v>
      </c>
      <c r="M15" s="5">
        <f t="shared" si="7"/>
        <v>0</v>
      </c>
      <c r="N15" s="5">
        <f t="shared" si="8"/>
        <v>41.4</v>
      </c>
      <c r="O15" s="1">
        <v>80</v>
      </c>
      <c r="P15">
        <f t="shared" si="9"/>
        <v>0.08</v>
      </c>
      <c r="Q15" s="1" t="s">
        <v>87</v>
      </c>
      <c r="R15" t="str">
        <f t="shared" si="10"/>
        <v>16/11/2015</v>
      </c>
      <c r="S15">
        <f t="shared" si="11"/>
        <v>2015</v>
      </c>
      <c r="T15">
        <f t="shared" si="12"/>
        <v>11</v>
      </c>
      <c r="U15" t="str">
        <f t="shared" si="13"/>
        <v>11</v>
      </c>
      <c r="V15">
        <f t="shared" si="14"/>
        <v>16</v>
      </c>
      <c r="W15" t="str">
        <f t="shared" si="15"/>
        <v>16</v>
      </c>
      <c r="X15" t="str">
        <f t="shared" si="16"/>
        <v>https://api.geomagnetism.ga.gov.au/agrf?latd=-31&amp;latm=28&amp;lats=53.58&amp;lond=130&amp;lonm=0&amp;lons=41.4&amp;year=2015&amp;month=11&amp;day=16&amp;elev=0.08&amp;Ein=D&amp;Ein=d</v>
      </c>
    </row>
    <row r="16" spans="1:24" ht="17" x14ac:dyDescent="0.25">
      <c r="A16" s="1" t="s">
        <v>14</v>
      </c>
      <c r="B16" s="1">
        <v>-29.40269</v>
      </c>
      <c r="C16" s="1">
        <v>130.01979</v>
      </c>
      <c r="D16" t="s">
        <v>522</v>
      </c>
      <c r="E16" t="s">
        <v>523</v>
      </c>
      <c r="F16" t="str">
        <f t="shared" si="0"/>
        <v>-29° 24' 9.68"</v>
      </c>
      <c r="G16" t="str">
        <f t="shared" si="1"/>
        <v>130° 1' 11.24"</v>
      </c>
      <c r="H16" s="5">
        <f t="shared" si="2"/>
        <v>29</v>
      </c>
      <c r="I16" s="5">
        <f t="shared" si="3"/>
        <v>-29</v>
      </c>
      <c r="J16" s="5">
        <f t="shared" si="4"/>
        <v>24</v>
      </c>
      <c r="K16" s="5">
        <f t="shared" si="5"/>
        <v>9.68</v>
      </c>
      <c r="L16" s="5">
        <f t="shared" si="6"/>
        <v>130</v>
      </c>
      <c r="M16" s="5">
        <f t="shared" si="7"/>
        <v>1</v>
      </c>
      <c r="N16" s="5">
        <f t="shared" si="8"/>
        <v>11.24</v>
      </c>
      <c r="O16" s="1">
        <v>210</v>
      </c>
      <c r="P16">
        <f t="shared" si="9"/>
        <v>0.21</v>
      </c>
      <c r="Q16" s="1" t="s">
        <v>88</v>
      </c>
      <c r="R16" t="str">
        <f t="shared" si="10"/>
        <v>20/09/2015</v>
      </c>
      <c r="S16">
        <f t="shared" si="11"/>
        <v>2015</v>
      </c>
      <c r="T16">
        <f t="shared" si="12"/>
        <v>9</v>
      </c>
      <c r="U16" t="str">
        <f t="shared" si="13"/>
        <v>09</v>
      </c>
      <c r="V16">
        <f t="shared" si="14"/>
        <v>20</v>
      </c>
      <c r="W16" t="str">
        <f t="shared" si="15"/>
        <v>20</v>
      </c>
      <c r="X16" t="str">
        <f t="shared" si="16"/>
        <v>https://api.geomagnetism.ga.gov.au/agrf?latd=-29&amp;latm=24&amp;lats=9.68&amp;lond=130&amp;lonm=1&amp;lons=11.24&amp;year=2015&amp;month=09&amp;day=20&amp;elev=0.21&amp;Ein=D&amp;Ein=d</v>
      </c>
    </row>
    <row r="17" spans="1:24" ht="17" x14ac:dyDescent="0.25">
      <c r="A17" s="1" t="s">
        <v>15</v>
      </c>
      <c r="B17" s="1">
        <v>-30.000920000000001</v>
      </c>
      <c r="C17" s="1">
        <v>130.06967</v>
      </c>
      <c r="D17" t="s">
        <v>524</v>
      </c>
      <c r="E17" t="s">
        <v>525</v>
      </c>
      <c r="F17" t="str">
        <f t="shared" si="0"/>
        <v>-30° 0' 3.31"</v>
      </c>
      <c r="G17" t="str">
        <f t="shared" si="1"/>
        <v>130° 4' 10.81"</v>
      </c>
      <c r="H17" s="5">
        <f t="shared" si="2"/>
        <v>30</v>
      </c>
      <c r="I17" s="5">
        <f t="shared" si="3"/>
        <v>-30</v>
      </c>
      <c r="J17" s="5">
        <f t="shared" si="4"/>
        <v>0</v>
      </c>
      <c r="K17" s="5">
        <f t="shared" si="5"/>
        <v>3.31</v>
      </c>
      <c r="L17" s="5">
        <f t="shared" si="6"/>
        <v>130</v>
      </c>
      <c r="M17" s="5">
        <f t="shared" si="7"/>
        <v>4</v>
      </c>
      <c r="N17" s="5">
        <f t="shared" si="8"/>
        <v>10.81</v>
      </c>
      <c r="O17" s="1">
        <v>150</v>
      </c>
      <c r="P17">
        <f t="shared" si="9"/>
        <v>0.15</v>
      </c>
      <c r="Q17" s="1" t="s">
        <v>66</v>
      </c>
      <c r="R17" t="str">
        <f t="shared" si="10"/>
        <v>20/10/2015</v>
      </c>
      <c r="S17">
        <f t="shared" si="11"/>
        <v>2015</v>
      </c>
      <c r="T17">
        <f t="shared" si="12"/>
        <v>10</v>
      </c>
      <c r="U17" t="str">
        <f t="shared" si="13"/>
        <v>10</v>
      </c>
      <c r="V17">
        <f t="shared" si="14"/>
        <v>20</v>
      </c>
      <c r="W17" t="str">
        <f t="shared" si="15"/>
        <v>20</v>
      </c>
      <c r="X17" t="str">
        <f t="shared" si="16"/>
        <v>https://api.geomagnetism.ga.gov.au/agrf?latd=-30&amp;latm=0&amp;lats=3.31&amp;lond=130&amp;lonm=4&amp;lons=10.81&amp;year=2015&amp;month=10&amp;day=20&amp;elev=0.15&amp;Ein=D&amp;Ein=d</v>
      </c>
    </row>
    <row r="18" spans="1:24" ht="17" x14ac:dyDescent="0.25">
      <c r="A18" s="1" t="s">
        <v>16</v>
      </c>
      <c r="B18" s="1">
        <v>-30.000920000000001</v>
      </c>
      <c r="C18" s="1">
        <v>130.06967</v>
      </c>
      <c r="D18" t="s">
        <v>524</v>
      </c>
      <c r="E18" t="s">
        <v>525</v>
      </c>
      <c r="F18" t="str">
        <f t="shared" si="0"/>
        <v>-30° 0' 3.31"</v>
      </c>
      <c r="G18" t="str">
        <f t="shared" si="1"/>
        <v>130° 4' 10.81"</v>
      </c>
      <c r="H18" s="5">
        <f t="shared" si="2"/>
        <v>30</v>
      </c>
      <c r="I18" s="5">
        <f t="shared" si="3"/>
        <v>-30</v>
      </c>
      <c r="J18" s="5">
        <f t="shared" si="4"/>
        <v>0</v>
      </c>
      <c r="K18" s="5">
        <f t="shared" si="5"/>
        <v>3.31</v>
      </c>
      <c r="L18" s="5">
        <f t="shared" si="6"/>
        <v>130</v>
      </c>
      <c r="M18" s="5">
        <f t="shared" si="7"/>
        <v>4</v>
      </c>
      <c r="N18" s="5">
        <f t="shared" si="8"/>
        <v>10.81</v>
      </c>
      <c r="O18" s="1">
        <v>150</v>
      </c>
      <c r="P18">
        <f t="shared" si="9"/>
        <v>0.15</v>
      </c>
      <c r="Q18" s="1" t="s">
        <v>87</v>
      </c>
      <c r="R18" t="str">
        <f t="shared" si="10"/>
        <v>16/11/2015</v>
      </c>
      <c r="S18">
        <f t="shared" si="11"/>
        <v>2015</v>
      </c>
      <c r="T18">
        <f t="shared" si="12"/>
        <v>11</v>
      </c>
      <c r="U18" t="str">
        <f t="shared" si="13"/>
        <v>11</v>
      </c>
      <c r="V18">
        <f t="shared" si="14"/>
        <v>16</v>
      </c>
      <c r="W18" t="str">
        <f t="shared" si="15"/>
        <v>16</v>
      </c>
      <c r="X18" t="str">
        <f t="shared" si="16"/>
        <v>https://api.geomagnetism.ga.gov.au/agrf?latd=-30&amp;latm=0&amp;lats=3.31&amp;lond=130&amp;lonm=4&amp;lons=10.81&amp;year=2015&amp;month=11&amp;day=16&amp;elev=0.15&amp;Ein=D&amp;Ein=d</v>
      </c>
    </row>
    <row r="19" spans="1:24" ht="17" x14ac:dyDescent="0.25">
      <c r="A19" s="1" t="s">
        <v>17</v>
      </c>
      <c r="B19" s="1">
        <v>-30.499639999999999</v>
      </c>
      <c r="C19" s="1">
        <v>130.00880000000001</v>
      </c>
      <c r="D19" t="s">
        <v>526</v>
      </c>
      <c r="E19" t="s">
        <v>527</v>
      </c>
      <c r="F19" t="str">
        <f t="shared" si="0"/>
        <v>-30° 29' 58.70"</v>
      </c>
      <c r="G19" t="str">
        <f t="shared" si="1"/>
        <v>130° 0' 31.68"</v>
      </c>
      <c r="H19" s="5">
        <f t="shared" si="2"/>
        <v>30</v>
      </c>
      <c r="I19" s="5">
        <f t="shared" si="3"/>
        <v>-30</v>
      </c>
      <c r="J19" s="5">
        <f t="shared" si="4"/>
        <v>29</v>
      </c>
      <c r="K19" s="5">
        <f t="shared" si="5"/>
        <v>58.7</v>
      </c>
      <c r="L19" s="5">
        <f t="shared" si="6"/>
        <v>130</v>
      </c>
      <c r="M19" s="5">
        <f t="shared" si="7"/>
        <v>0</v>
      </c>
      <c r="N19" s="5">
        <f t="shared" si="8"/>
        <v>31.68</v>
      </c>
      <c r="O19" s="1">
        <v>143</v>
      </c>
      <c r="P19">
        <f t="shared" si="9"/>
        <v>0.14299999999999999</v>
      </c>
      <c r="Q19" s="1" t="s">
        <v>66</v>
      </c>
      <c r="R19" t="str">
        <f t="shared" si="10"/>
        <v>20/10/2015</v>
      </c>
      <c r="S19">
        <f t="shared" si="11"/>
        <v>2015</v>
      </c>
      <c r="T19">
        <f t="shared" si="12"/>
        <v>10</v>
      </c>
      <c r="U19" t="str">
        <f t="shared" si="13"/>
        <v>10</v>
      </c>
      <c r="V19">
        <f t="shared" si="14"/>
        <v>20</v>
      </c>
      <c r="W19" t="str">
        <f t="shared" si="15"/>
        <v>20</v>
      </c>
      <c r="X19" t="str">
        <f t="shared" si="16"/>
        <v>https://api.geomagnetism.ga.gov.au/agrf?latd=-30&amp;latm=29&amp;lats=58.7&amp;lond=130&amp;lonm=0&amp;lons=31.68&amp;year=2015&amp;month=10&amp;day=20&amp;elev=0.143&amp;Ein=D&amp;Ein=d</v>
      </c>
    </row>
    <row r="20" spans="1:24" ht="17" x14ac:dyDescent="0.25">
      <c r="A20" s="1" t="s">
        <v>18</v>
      </c>
      <c r="B20" s="1">
        <v>-29.001570000000001</v>
      </c>
      <c r="C20" s="1">
        <v>130.50192999999999</v>
      </c>
      <c r="D20" t="s">
        <v>528</v>
      </c>
      <c r="E20" t="s">
        <v>529</v>
      </c>
      <c r="F20" t="str">
        <f t="shared" si="0"/>
        <v>-29° 0' 5.65"</v>
      </c>
      <c r="G20" t="str">
        <f t="shared" si="1"/>
        <v>130° 30' 6.95"</v>
      </c>
      <c r="H20" s="5">
        <f t="shared" si="2"/>
        <v>29</v>
      </c>
      <c r="I20" s="5">
        <f t="shared" si="3"/>
        <v>-29</v>
      </c>
      <c r="J20" s="5">
        <f t="shared" si="4"/>
        <v>0</v>
      </c>
      <c r="K20" s="5">
        <f t="shared" si="5"/>
        <v>5.65</v>
      </c>
      <c r="L20" s="5">
        <f t="shared" si="6"/>
        <v>130</v>
      </c>
      <c r="M20" s="5">
        <f t="shared" si="7"/>
        <v>30</v>
      </c>
      <c r="N20" s="5">
        <f t="shared" si="8"/>
        <v>6.95</v>
      </c>
      <c r="O20" s="1">
        <v>17</v>
      </c>
      <c r="P20">
        <f t="shared" si="9"/>
        <v>1.7000000000000001E-2</v>
      </c>
      <c r="Q20" s="1" t="s">
        <v>90</v>
      </c>
      <c r="R20" t="str">
        <f t="shared" si="10"/>
        <v>19/09/2015</v>
      </c>
      <c r="S20">
        <f t="shared" si="11"/>
        <v>2015</v>
      </c>
      <c r="T20">
        <f t="shared" si="12"/>
        <v>9</v>
      </c>
      <c r="U20" t="str">
        <f t="shared" si="13"/>
        <v>09</v>
      </c>
      <c r="V20">
        <f t="shared" si="14"/>
        <v>19</v>
      </c>
      <c r="W20" t="str">
        <f t="shared" si="15"/>
        <v>19</v>
      </c>
      <c r="X20" t="str">
        <f t="shared" si="16"/>
        <v>https://api.geomagnetism.ga.gov.au/agrf?latd=-29&amp;latm=0&amp;lats=5.65&amp;lond=130&amp;lonm=30&amp;lons=6.95&amp;year=2015&amp;month=09&amp;day=19&amp;elev=0.017&amp;Ein=D&amp;Ein=d</v>
      </c>
    </row>
    <row r="21" spans="1:24" ht="17" x14ac:dyDescent="0.25">
      <c r="A21" s="1" t="s">
        <v>19</v>
      </c>
      <c r="B21" s="1">
        <v>-29.001570000000001</v>
      </c>
      <c r="C21" s="1">
        <v>130.50192999999999</v>
      </c>
      <c r="D21" t="s">
        <v>528</v>
      </c>
      <c r="E21" t="s">
        <v>529</v>
      </c>
      <c r="F21" t="str">
        <f t="shared" si="0"/>
        <v>-29° 0' 5.65"</v>
      </c>
      <c r="G21" t="str">
        <f t="shared" si="1"/>
        <v>130° 30' 6.95"</v>
      </c>
      <c r="H21" s="5">
        <f t="shared" si="2"/>
        <v>29</v>
      </c>
      <c r="I21" s="5">
        <f t="shared" si="3"/>
        <v>-29</v>
      </c>
      <c r="J21" s="5">
        <f t="shared" si="4"/>
        <v>0</v>
      </c>
      <c r="K21" s="5">
        <f t="shared" si="5"/>
        <v>5.65</v>
      </c>
      <c r="L21" s="5">
        <f t="shared" si="6"/>
        <v>130</v>
      </c>
      <c r="M21" s="5">
        <f t="shared" si="7"/>
        <v>30</v>
      </c>
      <c r="N21" s="5">
        <f t="shared" si="8"/>
        <v>6.95</v>
      </c>
      <c r="O21" s="1">
        <v>17</v>
      </c>
      <c r="P21">
        <f t="shared" si="9"/>
        <v>1.7000000000000001E-2</v>
      </c>
      <c r="Q21" s="1" t="s">
        <v>64</v>
      </c>
      <c r="R21" t="str">
        <f t="shared" si="10"/>
        <v>15/10/2015</v>
      </c>
      <c r="S21">
        <f t="shared" si="11"/>
        <v>2015</v>
      </c>
      <c r="T21">
        <f t="shared" si="12"/>
        <v>10</v>
      </c>
      <c r="U21" t="str">
        <f t="shared" si="13"/>
        <v>10</v>
      </c>
      <c r="V21">
        <f t="shared" si="14"/>
        <v>15</v>
      </c>
      <c r="W21" t="str">
        <f t="shared" si="15"/>
        <v>15</v>
      </c>
      <c r="X21" t="str">
        <f t="shared" si="16"/>
        <v>https://api.geomagnetism.ga.gov.au/agrf?latd=-29&amp;latm=0&amp;lats=5.65&amp;lond=130&amp;lonm=30&amp;lons=6.95&amp;year=2015&amp;month=10&amp;day=15&amp;elev=0.017&amp;Ein=D&amp;Ein=d</v>
      </c>
    </row>
    <row r="22" spans="1:24" ht="17" x14ac:dyDescent="0.25">
      <c r="A22" s="1" t="s">
        <v>20</v>
      </c>
      <c r="B22" s="1">
        <v>-31.000920000000001</v>
      </c>
      <c r="C22" s="1">
        <v>130.48702</v>
      </c>
      <c r="D22" t="s">
        <v>530</v>
      </c>
      <c r="E22" t="s">
        <v>531</v>
      </c>
      <c r="F22" t="str">
        <f t="shared" si="0"/>
        <v>-31° 0' 3.31"</v>
      </c>
      <c r="G22" t="str">
        <f t="shared" si="1"/>
        <v>130° 29' 13.27"</v>
      </c>
      <c r="H22" s="5">
        <f t="shared" si="2"/>
        <v>31</v>
      </c>
      <c r="I22" s="5">
        <f t="shared" si="3"/>
        <v>-31</v>
      </c>
      <c r="J22" s="5">
        <f t="shared" si="4"/>
        <v>0</v>
      </c>
      <c r="K22" s="5">
        <f t="shared" si="5"/>
        <v>3.31</v>
      </c>
      <c r="L22" s="5">
        <f t="shared" si="6"/>
        <v>130</v>
      </c>
      <c r="M22" s="5">
        <f t="shared" si="7"/>
        <v>29</v>
      </c>
      <c r="N22" s="5">
        <f t="shared" si="8"/>
        <v>13.27</v>
      </c>
      <c r="O22" s="1">
        <v>100</v>
      </c>
      <c r="P22">
        <f t="shared" si="9"/>
        <v>0.1</v>
      </c>
      <c r="Q22" s="1" t="s">
        <v>89</v>
      </c>
      <c r="R22" t="str">
        <f t="shared" si="10"/>
        <v>21/10/2015</v>
      </c>
      <c r="S22">
        <f t="shared" si="11"/>
        <v>2015</v>
      </c>
      <c r="T22">
        <f t="shared" si="12"/>
        <v>10</v>
      </c>
      <c r="U22" t="str">
        <f t="shared" si="13"/>
        <v>10</v>
      </c>
      <c r="V22">
        <f t="shared" si="14"/>
        <v>21</v>
      </c>
      <c r="W22" t="str">
        <f t="shared" si="15"/>
        <v>21</v>
      </c>
      <c r="X22" t="str">
        <f t="shared" si="16"/>
        <v>https://api.geomagnetism.ga.gov.au/agrf?latd=-31&amp;latm=0&amp;lats=3.31&amp;lond=130&amp;lonm=29&amp;lons=13.27&amp;year=2015&amp;month=10&amp;day=21&amp;elev=0.1&amp;Ein=D&amp;Ein=d</v>
      </c>
    </row>
    <row r="23" spans="1:24" ht="17" x14ac:dyDescent="0.25">
      <c r="A23" s="1" t="s">
        <v>21</v>
      </c>
      <c r="B23" s="1">
        <v>-28.55996</v>
      </c>
      <c r="C23" s="1">
        <v>130.47833</v>
      </c>
      <c r="D23" t="s">
        <v>532</v>
      </c>
      <c r="E23" t="s">
        <v>533</v>
      </c>
      <c r="F23" t="str">
        <f t="shared" si="0"/>
        <v>-28° 33' 35.86"</v>
      </c>
      <c r="G23" t="str">
        <f t="shared" si="1"/>
        <v>130° 28' 41.99"</v>
      </c>
      <c r="H23" s="5">
        <f t="shared" si="2"/>
        <v>28</v>
      </c>
      <c r="I23" s="5">
        <f t="shared" si="3"/>
        <v>-28</v>
      </c>
      <c r="J23" s="5">
        <f t="shared" si="4"/>
        <v>33</v>
      </c>
      <c r="K23" s="5">
        <f t="shared" si="5"/>
        <v>35.86</v>
      </c>
      <c r="L23" s="5">
        <f t="shared" si="6"/>
        <v>130</v>
      </c>
      <c r="M23" s="5">
        <f t="shared" si="7"/>
        <v>28</v>
      </c>
      <c r="N23" s="5">
        <f t="shared" si="8"/>
        <v>41.99</v>
      </c>
      <c r="O23" s="1">
        <v>276</v>
      </c>
      <c r="P23">
        <f t="shared" si="9"/>
        <v>0.27600000000000002</v>
      </c>
      <c r="Q23" s="1" t="s">
        <v>85</v>
      </c>
      <c r="R23" t="str">
        <f t="shared" si="10"/>
        <v>16/10/2015</v>
      </c>
      <c r="S23">
        <f t="shared" si="11"/>
        <v>2015</v>
      </c>
      <c r="T23">
        <f t="shared" si="12"/>
        <v>10</v>
      </c>
      <c r="U23" t="str">
        <f t="shared" si="13"/>
        <v>10</v>
      </c>
      <c r="V23">
        <f t="shared" si="14"/>
        <v>16</v>
      </c>
      <c r="W23" t="str">
        <f t="shared" si="15"/>
        <v>16</v>
      </c>
      <c r="X23" t="str">
        <f t="shared" si="16"/>
        <v>https://api.geomagnetism.ga.gov.au/agrf?latd=-28&amp;latm=33&amp;lats=35.86&amp;lond=130&amp;lonm=28&amp;lons=41.99&amp;year=2015&amp;month=10&amp;day=16&amp;elev=0.276&amp;Ein=D&amp;Ein=d</v>
      </c>
    </row>
    <row r="24" spans="1:24" ht="17" x14ac:dyDescent="0.25">
      <c r="A24" s="1" t="s">
        <v>22</v>
      </c>
      <c r="B24" s="1">
        <v>-29.38223</v>
      </c>
      <c r="C24" s="1">
        <v>130.49831</v>
      </c>
      <c r="D24" t="s">
        <v>534</v>
      </c>
      <c r="E24" t="s">
        <v>535</v>
      </c>
      <c r="F24" t="str">
        <f t="shared" si="0"/>
        <v>-29° 22' 56.03"</v>
      </c>
      <c r="G24" t="str">
        <f t="shared" si="1"/>
        <v>130° 29' 53.92"</v>
      </c>
      <c r="H24" s="5">
        <f t="shared" si="2"/>
        <v>29</v>
      </c>
      <c r="I24" s="5">
        <f t="shared" si="3"/>
        <v>-29</v>
      </c>
      <c r="J24" s="5">
        <f t="shared" si="4"/>
        <v>22</v>
      </c>
      <c r="K24" s="5">
        <f t="shared" si="5"/>
        <v>56.03</v>
      </c>
      <c r="L24" s="5">
        <f t="shared" si="6"/>
        <v>130</v>
      </c>
      <c r="M24" s="5">
        <f t="shared" si="7"/>
        <v>29</v>
      </c>
      <c r="N24" s="5">
        <f t="shared" si="8"/>
        <v>53.92</v>
      </c>
      <c r="O24" s="1">
        <v>238</v>
      </c>
      <c r="P24">
        <f t="shared" si="9"/>
        <v>0.23799999999999999</v>
      </c>
      <c r="Q24" s="1" t="s">
        <v>88</v>
      </c>
      <c r="R24" t="str">
        <f t="shared" si="10"/>
        <v>20/09/2015</v>
      </c>
      <c r="S24">
        <f t="shared" si="11"/>
        <v>2015</v>
      </c>
      <c r="T24">
        <f t="shared" si="12"/>
        <v>9</v>
      </c>
      <c r="U24" t="str">
        <f t="shared" si="13"/>
        <v>09</v>
      </c>
      <c r="V24">
        <f t="shared" si="14"/>
        <v>20</v>
      </c>
      <c r="W24" t="str">
        <f t="shared" si="15"/>
        <v>20</v>
      </c>
      <c r="X24" t="str">
        <f t="shared" si="16"/>
        <v>https://api.geomagnetism.ga.gov.au/agrf?latd=-29&amp;latm=22&amp;lats=56.03&amp;lond=130&amp;lonm=29&amp;lons=53.92&amp;year=2015&amp;month=09&amp;day=20&amp;elev=0.238&amp;Ein=D&amp;Ein=d</v>
      </c>
    </row>
    <row r="25" spans="1:24" ht="17" x14ac:dyDescent="0.25">
      <c r="A25" s="1" t="s">
        <v>23</v>
      </c>
      <c r="B25" s="1">
        <v>-30.004449999999999</v>
      </c>
      <c r="C25" s="1">
        <v>130.49803</v>
      </c>
      <c r="D25" t="s">
        <v>536</v>
      </c>
      <c r="E25" t="s">
        <v>537</v>
      </c>
      <c r="F25" t="str">
        <f t="shared" si="0"/>
        <v>-30° 0' 16.02"</v>
      </c>
      <c r="G25" t="str">
        <f t="shared" si="1"/>
        <v>130° 29' 52.91"</v>
      </c>
      <c r="H25" s="5">
        <f t="shared" si="2"/>
        <v>30</v>
      </c>
      <c r="I25" s="5">
        <f t="shared" si="3"/>
        <v>-30</v>
      </c>
      <c r="J25" s="5">
        <f t="shared" si="4"/>
        <v>0</v>
      </c>
      <c r="K25" s="5">
        <f t="shared" si="5"/>
        <v>16.02</v>
      </c>
      <c r="L25" s="5">
        <f t="shared" si="6"/>
        <v>130</v>
      </c>
      <c r="M25" s="5">
        <f t="shared" si="7"/>
        <v>29</v>
      </c>
      <c r="N25" s="5">
        <f t="shared" si="8"/>
        <v>52.91</v>
      </c>
      <c r="O25" s="1">
        <v>133</v>
      </c>
      <c r="P25">
        <f t="shared" si="9"/>
        <v>0.13300000000000001</v>
      </c>
      <c r="Q25" s="1" t="s">
        <v>91</v>
      </c>
      <c r="R25" t="str">
        <f t="shared" si="10"/>
        <v>21/09/2015</v>
      </c>
      <c r="S25">
        <f t="shared" si="11"/>
        <v>2015</v>
      </c>
      <c r="T25">
        <f t="shared" si="12"/>
        <v>9</v>
      </c>
      <c r="U25" t="str">
        <f t="shared" si="13"/>
        <v>09</v>
      </c>
      <c r="V25">
        <f t="shared" si="14"/>
        <v>21</v>
      </c>
      <c r="W25" t="str">
        <f t="shared" si="15"/>
        <v>21</v>
      </c>
      <c r="X25" t="str">
        <f t="shared" si="16"/>
        <v>https://api.geomagnetism.ga.gov.au/agrf?latd=-30&amp;latm=0&amp;lats=16.02&amp;lond=130&amp;lonm=29&amp;lons=52.91&amp;year=2015&amp;month=09&amp;day=21&amp;elev=0.133&amp;Ein=D&amp;Ein=d</v>
      </c>
    </row>
    <row r="26" spans="1:24" ht="17" x14ac:dyDescent="0.25">
      <c r="A26" s="1" t="s">
        <v>24</v>
      </c>
      <c r="B26" s="1">
        <v>-30.455480000000001</v>
      </c>
      <c r="C26" s="1">
        <v>130.50583</v>
      </c>
      <c r="D26" t="s">
        <v>538</v>
      </c>
      <c r="E26" t="s">
        <v>539</v>
      </c>
      <c r="F26" t="str">
        <f t="shared" si="0"/>
        <v>-30° 27' 19.73"</v>
      </c>
      <c r="G26" t="str">
        <f t="shared" si="1"/>
        <v>130° 30' 20.99"</v>
      </c>
      <c r="H26" s="5">
        <f t="shared" si="2"/>
        <v>30</v>
      </c>
      <c r="I26" s="5">
        <f t="shared" si="3"/>
        <v>-30</v>
      </c>
      <c r="J26" s="5">
        <f t="shared" si="4"/>
        <v>27</v>
      </c>
      <c r="K26" s="5">
        <f t="shared" si="5"/>
        <v>19.73</v>
      </c>
      <c r="L26" s="5">
        <f t="shared" si="6"/>
        <v>130</v>
      </c>
      <c r="M26" s="5">
        <f t="shared" si="7"/>
        <v>30</v>
      </c>
      <c r="N26" s="5">
        <f t="shared" si="8"/>
        <v>20.99</v>
      </c>
      <c r="O26" s="1">
        <v>131</v>
      </c>
      <c r="P26">
        <f t="shared" si="9"/>
        <v>0.13100000000000001</v>
      </c>
      <c r="Q26" s="1" t="s">
        <v>66</v>
      </c>
      <c r="R26" t="str">
        <f t="shared" si="10"/>
        <v>20/10/2015</v>
      </c>
      <c r="S26">
        <f t="shared" si="11"/>
        <v>2015</v>
      </c>
      <c r="T26">
        <f t="shared" si="12"/>
        <v>10</v>
      </c>
      <c r="U26" t="str">
        <f t="shared" si="13"/>
        <v>10</v>
      </c>
      <c r="V26">
        <f t="shared" si="14"/>
        <v>20</v>
      </c>
      <c r="W26" t="str">
        <f t="shared" si="15"/>
        <v>20</v>
      </c>
      <c r="X26" t="str">
        <f t="shared" si="16"/>
        <v>https://api.geomagnetism.ga.gov.au/agrf?latd=-30&amp;latm=27&amp;lats=19.73&amp;lond=130&amp;lonm=30&amp;lons=20.99&amp;year=2015&amp;month=10&amp;day=20&amp;elev=0.131&amp;Ein=D&amp;Ein=d</v>
      </c>
    </row>
    <row r="27" spans="1:24" ht="17" x14ac:dyDescent="0.25">
      <c r="A27" s="1" t="s">
        <v>25</v>
      </c>
      <c r="B27" s="1">
        <v>-31.499490000000002</v>
      </c>
      <c r="C27" s="1">
        <v>130.49401</v>
      </c>
      <c r="D27" t="s">
        <v>540</v>
      </c>
      <c r="E27" t="s">
        <v>541</v>
      </c>
      <c r="F27" t="str">
        <f t="shared" si="0"/>
        <v>-31° 29' 58.16"</v>
      </c>
      <c r="G27" t="str">
        <f t="shared" si="1"/>
        <v>130° 29' 38.44"</v>
      </c>
      <c r="H27" s="5">
        <f t="shared" si="2"/>
        <v>31</v>
      </c>
      <c r="I27" s="5">
        <f t="shared" si="3"/>
        <v>-31</v>
      </c>
      <c r="J27" s="5">
        <f t="shared" si="4"/>
        <v>29</v>
      </c>
      <c r="K27" s="5">
        <f t="shared" si="5"/>
        <v>58.16</v>
      </c>
      <c r="L27" s="5">
        <f t="shared" si="6"/>
        <v>130</v>
      </c>
      <c r="M27" s="5">
        <f t="shared" si="7"/>
        <v>29</v>
      </c>
      <c r="N27" s="5">
        <f t="shared" si="8"/>
        <v>38.44</v>
      </c>
      <c r="O27" s="1">
        <v>58</v>
      </c>
      <c r="P27">
        <f t="shared" si="9"/>
        <v>5.8000000000000003E-2</v>
      </c>
      <c r="Q27" s="1" t="s">
        <v>87</v>
      </c>
      <c r="R27" t="str">
        <f t="shared" si="10"/>
        <v>16/11/2015</v>
      </c>
      <c r="S27">
        <f t="shared" si="11"/>
        <v>2015</v>
      </c>
      <c r="T27">
        <f t="shared" si="12"/>
        <v>11</v>
      </c>
      <c r="U27" t="str">
        <f t="shared" si="13"/>
        <v>11</v>
      </c>
      <c r="V27">
        <f t="shared" si="14"/>
        <v>16</v>
      </c>
      <c r="W27" t="str">
        <f t="shared" si="15"/>
        <v>16</v>
      </c>
      <c r="X27" t="str">
        <f t="shared" si="16"/>
        <v>https://api.geomagnetism.ga.gov.au/agrf?latd=-31&amp;latm=29&amp;lats=58.16&amp;lond=130&amp;lonm=29&amp;lons=38.44&amp;year=2015&amp;month=11&amp;day=16&amp;elev=0.058&amp;Ein=D&amp;Ein=d</v>
      </c>
    </row>
    <row r="28" spans="1:24" ht="17" x14ac:dyDescent="0.25">
      <c r="A28" s="1" t="s">
        <v>26</v>
      </c>
      <c r="B28" s="1">
        <v>-29.010909999999999</v>
      </c>
      <c r="C28" s="1">
        <v>130.99940000000001</v>
      </c>
      <c r="D28" t="s">
        <v>542</v>
      </c>
      <c r="E28" t="s">
        <v>543</v>
      </c>
      <c r="F28" t="str">
        <f t="shared" si="0"/>
        <v>-29° 0' 39.28"</v>
      </c>
      <c r="G28" t="str">
        <f t="shared" si="1"/>
        <v>130° 59' 57.84"</v>
      </c>
      <c r="H28" s="5">
        <f t="shared" si="2"/>
        <v>29</v>
      </c>
      <c r="I28" s="5">
        <f t="shared" si="3"/>
        <v>-29</v>
      </c>
      <c r="J28" s="5">
        <f t="shared" si="4"/>
        <v>0</v>
      </c>
      <c r="K28" s="5">
        <f t="shared" si="5"/>
        <v>39.28</v>
      </c>
      <c r="L28" s="5">
        <f t="shared" si="6"/>
        <v>130</v>
      </c>
      <c r="M28" s="5">
        <f t="shared" si="7"/>
        <v>59</v>
      </c>
      <c r="N28" s="5">
        <f t="shared" si="8"/>
        <v>57.84</v>
      </c>
      <c r="O28" s="1">
        <v>256</v>
      </c>
      <c r="P28">
        <f t="shared" si="9"/>
        <v>0.25600000000000001</v>
      </c>
      <c r="Q28" s="1" t="s">
        <v>90</v>
      </c>
      <c r="R28" t="str">
        <f t="shared" si="10"/>
        <v>19/09/2015</v>
      </c>
      <c r="S28">
        <f t="shared" si="11"/>
        <v>2015</v>
      </c>
      <c r="T28">
        <f t="shared" si="12"/>
        <v>9</v>
      </c>
      <c r="U28" t="str">
        <f t="shared" si="13"/>
        <v>09</v>
      </c>
      <c r="V28">
        <f t="shared" si="14"/>
        <v>19</v>
      </c>
      <c r="W28" t="str">
        <f t="shared" si="15"/>
        <v>19</v>
      </c>
      <c r="X28" t="str">
        <f t="shared" si="16"/>
        <v>https://api.geomagnetism.ga.gov.au/agrf?latd=-29&amp;latm=0&amp;lats=39.28&amp;lond=130&amp;lonm=59&amp;lons=57.84&amp;year=2015&amp;month=09&amp;day=19&amp;elev=0.256&amp;Ein=D&amp;Ein=d</v>
      </c>
    </row>
    <row r="29" spans="1:24" ht="17" x14ac:dyDescent="0.25">
      <c r="A29" s="1" t="s">
        <v>27</v>
      </c>
      <c r="B29" s="1">
        <v>-29.503240000000002</v>
      </c>
      <c r="C29" s="1">
        <v>130.87628000000001</v>
      </c>
      <c r="D29" t="s">
        <v>544</v>
      </c>
      <c r="E29" t="s">
        <v>545</v>
      </c>
      <c r="F29" t="str">
        <f t="shared" si="0"/>
        <v>-29° 30' 11.66"</v>
      </c>
      <c r="G29" t="str">
        <f t="shared" si="1"/>
        <v>130° 52' 34.61"</v>
      </c>
      <c r="H29" s="5">
        <f t="shared" si="2"/>
        <v>29</v>
      </c>
      <c r="I29" s="5">
        <f t="shared" si="3"/>
        <v>-29</v>
      </c>
      <c r="J29" s="5">
        <f t="shared" si="4"/>
        <v>30</v>
      </c>
      <c r="K29" s="5">
        <f t="shared" si="5"/>
        <v>11.66</v>
      </c>
      <c r="L29" s="5">
        <f t="shared" si="6"/>
        <v>130</v>
      </c>
      <c r="M29" s="5">
        <f t="shared" si="7"/>
        <v>52</v>
      </c>
      <c r="N29" s="5">
        <f t="shared" si="8"/>
        <v>34.61</v>
      </c>
      <c r="O29" s="1">
        <v>232</v>
      </c>
      <c r="P29">
        <f t="shared" si="9"/>
        <v>0.23200000000000001</v>
      </c>
      <c r="Q29" s="1" t="s">
        <v>91</v>
      </c>
      <c r="R29" t="str">
        <f t="shared" si="10"/>
        <v>21/09/2015</v>
      </c>
      <c r="S29">
        <f t="shared" si="11"/>
        <v>2015</v>
      </c>
      <c r="T29">
        <f t="shared" si="12"/>
        <v>9</v>
      </c>
      <c r="U29" t="str">
        <f t="shared" si="13"/>
        <v>09</v>
      </c>
      <c r="V29">
        <f t="shared" si="14"/>
        <v>21</v>
      </c>
      <c r="W29" t="str">
        <f t="shared" si="15"/>
        <v>21</v>
      </c>
      <c r="X29" t="str">
        <f t="shared" si="16"/>
        <v>https://api.geomagnetism.ga.gov.au/agrf?latd=-29&amp;latm=30&amp;lats=11.66&amp;lond=130&amp;lonm=52&amp;lons=34.61&amp;year=2015&amp;month=09&amp;day=21&amp;elev=0.232&amp;Ein=D&amp;Ein=d</v>
      </c>
    </row>
    <row r="30" spans="1:24" ht="17" x14ac:dyDescent="0.25">
      <c r="A30" s="1" t="s">
        <v>28</v>
      </c>
      <c r="B30" s="1">
        <v>-31.004380000000001</v>
      </c>
      <c r="C30" s="1">
        <v>130.90593999999999</v>
      </c>
      <c r="D30" t="s">
        <v>546</v>
      </c>
      <c r="E30" t="s">
        <v>547</v>
      </c>
      <c r="F30" t="str">
        <f t="shared" si="0"/>
        <v>-31° 0' 15.77"</v>
      </c>
      <c r="G30" t="str">
        <f t="shared" si="1"/>
        <v>130° 54' 21.38"</v>
      </c>
      <c r="H30" s="5">
        <f t="shared" si="2"/>
        <v>31</v>
      </c>
      <c r="I30" s="5">
        <f t="shared" si="3"/>
        <v>-31</v>
      </c>
      <c r="J30" s="5">
        <f t="shared" si="4"/>
        <v>0</v>
      </c>
      <c r="K30" s="5">
        <f t="shared" si="5"/>
        <v>15.77</v>
      </c>
      <c r="L30" s="5">
        <f t="shared" si="6"/>
        <v>130</v>
      </c>
      <c r="M30" s="5">
        <f t="shared" si="7"/>
        <v>54</v>
      </c>
      <c r="N30" s="5">
        <f t="shared" si="8"/>
        <v>21.38</v>
      </c>
      <c r="O30" s="1">
        <v>0</v>
      </c>
      <c r="P30">
        <f t="shared" si="9"/>
        <v>0</v>
      </c>
      <c r="Q30" s="1" t="s">
        <v>92</v>
      </c>
      <c r="R30" t="str">
        <f t="shared" si="10"/>
        <v>22/10/2015</v>
      </c>
      <c r="S30">
        <f t="shared" si="11"/>
        <v>2015</v>
      </c>
      <c r="T30">
        <f t="shared" si="12"/>
        <v>10</v>
      </c>
      <c r="U30" t="str">
        <f t="shared" si="13"/>
        <v>10</v>
      </c>
      <c r="V30">
        <f t="shared" si="14"/>
        <v>22</v>
      </c>
      <c r="W30" t="str">
        <f t="shared" si="15"/>
        <v>22</v>
      </c>
      <c r="X30" t="str">
        <f t="shared" si="16"/>
        <v>https://api.geomagnetism.ga.gov.au/agrf?latd=-31&amp;latm=0&amp;lats=15.77&amp;lond=130&amp;lonm=54&amp;lons=21.38&amp;year=2015&amp;month=10&amp;day=22&amp;elev=0&amp;Ein=D&amp;Ein=d</v>
      </c>
    </row>
    <row r="31" spans="1:24" ht="17" x14ac:dyDescent="0.25">
      <c r="A31" s="1" t="s">
        <v>29</v>
      </c>
      <c r="B31" s="1">
        <v>-30</v>
      </c>
      <c r="C31" s="1">
        <v>130.98633000000001</v>
      </c>
      <c r="D31" t="s">
        <v>548</v>
      </c>
      <c r="E31" t="s">
        <v>549</v>
      </c>
      <c r="F31" t="str">
        <f t="shared" si="0"/>
        <v>-30° 0' 0.00"</v>
      </c>
      <c r="G31" t="str">
        <f t="shared" si="1"/>
        <v>130° 59' 10.79"</v>
      </c>
      <c r="H31" s="5">
        <f t="shared" si="2"/>
        <v>30</v>
      </c>
      <c r="I31" s="5">
        <f t="shared" si="3"/>
        <v>-30</v>
      </c>
      <c r="J31" s="5">
        <f t="shared" si="4"/>
        <v>0</v>
      </c>
      <c r="K31" s="5">
        <f t="shared" si="5"/>
        <v>0</v>
      </c>
      <c r="L31" s="5">
        <f t="shared" si="6"/>
        <v>130</v>
      </c>
      <c r="M31" s="5">
        <f t="shared" si="7"/>
        <v>59</v>
      </c>
      <c r="N31" s="5">
        <f t="shared" si="8"/>
        <v>10.79</v>
      </c>
      <c r="O31" s="1">
        <v>155</v>
      </c>
      <c r="P31">
        <f t="shared" si="9"/>
        <v>0.155</v>
      </c>
      <c r="Q31" s="1" t="s">
        <v>91</v>
      </c>
      <c r="R31" t="str">
        <f t="shared" si="10"/>
        <v>21/09/2015</v>
      </c>
      <c r="S31">
        <f t="shared" si="11"/>
        <v>2015</v>
      </c>
      <c r="T31">
        <f t="shared" si="12"/>
        <v>9</v>
      </c>
      <c r="U31" t="str">
        <f t="shared" si="13"/>
        <v>09</v>
      </c>
      <c r="V31">
        <f t="shared" si="14"/>
        <v>21</v>
      </c>
      <c r="W31" t="str">
        <f t="shared" si="15"/>
        <v>21</v>
      </c>
      <c r="X31" t="str">
        <f t="shared" si="16"/>
        <v>https://api.geomagnetism.ga.gov.au/agrf?latd=-30&amp;latm=0&amp;lats=0&amp;lond=130&amp;lonm=59&amp;lons=10.79&amp;year=2015&amp;month=09&amp;day=21&amp;elev=0.155&amp;Ein=D&amp;Ein=d</v>
      </c>
    </row>
    <row r="32" spans="1:24" ht="17" x14ac:dyDescent="0.25">
      <c r="A32" s="1" t="s">
        <v>30</v>
      </c>
      <c r="B32" s="1">
        <v>-28.562370000000001</v>
      </c>
      <c r="C32" s="1">
        <v>131.00867</v>
      </c>
      <c r="D32" t="s">
        <v>550</v>
      </c>
      <c r="E32" t="s">
        <v>551</v>
      </c>
      <c r="F32" t="str">
        <f t="shared" si="0"/>
        <v>-28° 33' 44.53"</v>
      </c>
      <c r="G32" t="str">
        <f t="shared" si="1"/>
        <v>131° 0' 31.21"</v>
      </c>
      <c r="H32" s="5">
        <f t="shared" si="2"/>
        <v>28</v>
      </c>
      <c r="I32" s="5">
        <f t="shared" si="3"/>
        <v>-28</v>
      </c>
      <c r="J32" s="5">
        <f t="shared" si="4"/>
        <v>33</v>
      </c>
      <c r="K32" s="5">
        <f t="shared" si="5"/>
        <v>44.53</v>
      </c>
      <c r="L32" s="5">
        <f t="shared" si="6"/>
        <v>131</v>
      </c>
      <c r="M32" s="5">
        <f t="shared" si="7"/>
        <v>0</v>
      </c>
      <c r="N32" s="5">
        <f t="shared" si="8"/>
        <v>31.21</v>
      </c>
      <c r="O32" s="1">
        <v>347</v>
      </c>
      <c r="P32">
        <f t="shared" si="9"/>
        <v>0.34699999999999998</v>
      </c>
      <c r="Q32" s="1" t="s">
        <v>90</v>
      </c>
      <c r="R32" t="str">
        <f t="shared" si="10"/>
        <v>19/09/2015</v>
      </c>
      <c r="S32">
        <f t="shared" si="11"/>
        <v>2015</v>
      </c>
      <c r="T32">
        <f t="shared" si="12"/>
        <v>9</v>
      </c>
      <c r="U32" t="str">
        <f t="shared" si="13"/>
        <v>09</v>
      </c>
      <c r="V32">
        <f t="shared" si="14"/>
        <v>19</v>
      </c>
      <c r="W32" t="str">
        <f t="shared" si="15"/>
        <v>19</v>
      </c>
      <c r="X32" t="str">
        <f t="shared" si="16"/>
        <v>https://api.geomagnetism.ga.gov.au/agrf?latd=-28&amp;latm=33&amp;lats=44.53&amp;lond=131&amp;lonm=0&amp;lons=31.21&amp;year=2015&amp;month=09&amp;day=19&amp;elev=0.347&amp;Ein=D&amp;Ein=d</v>
      </c>
    </row>
    <row r="33" spans="1:24" ht="17" x14ac:dyDescent="0.25">
      <c r="A33" s="1" t="s">
        <v>31</v>
      </c>
      <c r="B33" s="1">
        <v>-30.56926</v>
      </c>
      <c r="C33" s="1">
        <v>131.00957</v>
      </c>
      <c r="D33" t="s">
        <v>552</v>
      </c>
      <c r="E33" t="s">
        <v>553</v>
      </c>
      <c r="F33" t="str">
        <f t="shared" si="0"/>
        <v>-30° 34' 9.34"</v>
      </c>
      <c r="G33" t="str">
        <f t="shared" si="1"/>
        <v>131° 0' 34.45"</v>
      </c>
      <c r="H33" s="5">
        <f t="shared" si="2"/>
        <v>30</v>
      </c>
      <c r="I33" s="5">
        <f t="shared" si="3"/>
        <v>-30</v>
      </c>
      <c r="J33" s="5">
        <f t="shared" si="4"/>
        <v>34</v>
      </c>
      <c r="K33" s="5">
        <f t="shared" si="5"/>
        <v>9.34</v>
      </c>
      <c r="L33" s="5">
        <f t="shared" si="6"/>
        <v>131</v>
      </c>
      <c r="M33" s="5">
        <f t="shared" si="7"/>
        <v>0</v>
      </c>
      <c r="N33" s="5">
        <f t="shared" si="8"/>
        <v>34.450000000000003</v>
      </c>
      <c r="O33" s="1">
        <v>113</v>
      </c>
      <c r="P33">
        <f t="shared" si="9"/>
        <v>0.113</v>
      </c>
      <c r="Q33" s="1" t="s">
        <v>66</v>
      </c>
      <c r="R33" t="str">
        <f t="shared" si="10"/>
        <v>20/10/2015</v>
      </c>
      <c r="S33">
        <f t="shared" si="11"/>
        <v>2015</v>
      </c>
      <c r="T33">
        <f t="shared" si="12"/>
        <v>10</v>
      </c>
      <c r="U33" t="str">
        <f t="shared" si="13"/>
        <v>10</v>
      </c>
      <c r="V33">
        <f t="shared" si="14"/>
        <v>20</v>
      </c>
      <c r="W33" t="str">
        <f t="shared" si="15"/>
        <v>20</v>
      </c>
      <c r="X33" t="str">
        <f t="shared" si="16"/>
        <v>https://api.geomagnetism.ga.gov.au/agrf?latd=-30&amp;latm=34&amp;lats=9.34&amp;lond=131&amp;lonm=0&amp;lons=34.45&amp;year=2015&amp;month=10&amp;day=20&amp;elev=0.113&amp;Ein=D&amp;Ein=d</v>
      </c>
    </row>
    <row r="34" spans="1:24" ht="17" x14ac:dyDescent="0.25">
      <c r="A34" s="1" t="s">
        <v>32</v>
      </c>
      <c r="B34" s="1">
        <v>-29.999389999999998</v>
      </c>
      <c r="C34" s="1">
        <v>131.39143999999999</v>
      </c>
      <c r="D34" t="s">
        <v>554</v>
      </c>
      <c r="E34" t="s">
        <v>555</v>
      </c>
      <c r="F34" t="str">
        <f t="shared" si="0"/>
        <v>-29° 59' 57.80"</v>
      </c>
      <c r="G34" t="str">
        <f t="shared" si="1"/>
        <v>131° 23' 29.18"</v>
      </c>
      <c r="H34" s="5">
        <f t="shared" si="2"/>
        <v>29</v>
      </c>
      <c r="I34" s="5">
        <f t="shared" si="3"/>
        <v>-29</v>
      </c>
      <c r="J34" s="5">
        <f t="shared" si="4"/>
        <v>59</v>
      </c>
      <c r="K34" s="5">
        <f t="shared" si="5"/>
        <v>57.8</v>
      </c>
      <c r="L34" s="5">
        <f t="shared" si="6"/>
        <v>131</v>
      </c>
      <c r="M34" s="5">
        <f t="shared" si="7"/>
        <v>23</v>
      </c>
      <c r="N34" s="5">
        <f t="shared" si="8"/>
        <v>29.18</v>
      </c>
      <c r="O34" s="1">
        <v>215</v>
      </c>
      <c r="P34">
        <f t="shared" si="9"/>
        <v>0.215</v>
      </c>
      <c r="Q34" s="1" t="s">
        <v>91</v>
      </c>
      <c r="R34" t="str">
        <f t="shared" si="10"/>
        <v>21/09/2015</v>
      </c>
      <c r="S34">
        <f t="shared" si="11"/>
        <v>2015</v>
      </c>
      <c r="T34">
        <f t="shared" si="12"/>
        <v>9</v>
      </c>
      <c r="U34" t="str">
        <f t="shared" si="13"/>
        <v>09</v>
      </c>
      <c r="V34">
        <f t="shared" si="14"/>
        <v>21</v>
      </c>
      <c r="W34" t="str">
        <f t="shared" si="15"/>
        <v>21</v>
      </c>
      <c r="X34" t="str">
        <f t="shared" si="16"/>
        <v>https://api.geomagnetism.ga.gov.au/agrf?latd=-29&amp;latm=59&amp;lats=57.8&amp;lond=131&amp;lonm=23&amp;lons=29.18&amp;year=2015&amp;month=09&amp;day=21&amp;elev=0.215&amp;Ein=D&amp;Ein=d</v>
      </c>
    </row>
    <row r="35" spans="1:24" ht="17" x14ac:dyDescent="0.25">
      <c r="A35" s="1" t="s">
        <v>33</v>
      </c>
      <c r="B35" s="1">
        <v>-29.517099999999999</v>
      </c>
      <c r="C35" s="1">
        <v>131.50131999999999</v>
      </c>
      <c r="D35" t="s">
        <v>556</v>
      </c>
      <c r="E35" t="s">
        <v>557</v>
      </c>
      <c r="F35" t="str">
        <f t="shared" si="0"/>
        <v>-29° 31' 1.56"</v>
      </c>
      <c r="G35" t="str">
        <f t="shared" si="1"/>
        <v>131° 30' 4.75"</v>
      </c>
      <c r="H35" s="5">
        <f t="shared" si="2"/>
        <v>29</v>
      </c>
      <c r="I35" s="5">
        <f t="shared" si="3"/>
        <v>-29</v>
      </c>
      <c r="J35" s="5">
        <f t="shared" si="4"/>
        <v>31</v>
      </c>
      <c r="K35" s="5">
        <f t="shared" si="5"/>
        <v>1.56</v>
      </c>
      <c r="L35" s="5">
        <f t="shared" si="6"/>
        <v>131</v>
      </c>
      <c r="M35" s="5">
        <f t="shared" si="7"/>
        <v>30</v>
      </c>
      <c r="N35" s="5">
        <f t="shared" si="8"/>
        <v>4.75</v>
      </c>
      <c r="O35" s="1">
        <v>190</v>
      </c>
      <c r="P35">
        <f t="shared" si="9"/>
        <v>0.19</v>
      </c>
      <c r="Q35" s="1" t="s">
        <v>90</v>
      </c>
      <c r="R35" t="str">
        <f t="shared" si="10"/>
        <v>19/09/2015</v>
      </c>
      <c r="S35">
        <f t="shared" si="11"/>
        <v>2015</v>
      </c>
      <c r="T35">
        <f t="shared" si="12"/>
        <v>9</v>
      </c>
      <c r="U35" t="str">
        <f t="shared" si="13"/>
        <v>09</v>
      </c>
      <c r="V35">
        <f t="shared" si="14"/>
        <v>19</v>
      </c>
      <c r="W35" t="str">
        <f t="shared" si="15"/>
        <v>19</v>
      </c>
      <c r="X35" t="str">
        <f t="shared" si="16"/>
        <v>https://api.geomagnetism.ga.gov.au/agrf?latd=-29&amp;latm=31&amp;lats=1.56&amp;lond=131&amp;lonm=30&amp;lons=4.75&amp;year=2015&amp;month=09&amp;day=19&amp;elev=0.19&amp;Ein=D&amp;Ein=d</v>
      </c>
    </row>
    <row r="36" spans="1:24" ht="17" x14ac:dyDescent="0.25">
      <c r="A36" s="1" t="s">
        <v>34</v>
      </c>
      <c r="B36" s="1">
        <v>-31.060669999999998</v>
      </c>
      <c r="C36" s="1">
        <v>131.49789999999999</v>
      </c>
      <c r="D36" t="s">
        <v>558</v>
      </c>
      <c r="E36" t="s">
        <v>559</v>
      </c>
      <c r="F36" t="str">
        <f t="shared" si="0"/>
        <v>-31° 3' 38.41"</v>
      </c>
      <c r="G36" t="str">
        <f t="shared" si="1"/>
        <v>131° 29' 52.44"</v>
      </c>
      <c r="H36" s="5">
        <f t="shared" si="2"/>
        <v>31</v>
      </c>
      <c r="I36" s="5">
        <f t="shared" si="3"/>
        <v>-31</v>
      </c>
      <c r="J36" s="5">
        <f t="shared" si="4"/>
        <v>3</v>
      </c>
      <c r="K36" s="5">
        <f t="shared" si="5"/>
        <v>38.409999999999997</v>
      </c>
      <c r="L36" s="5">
        <f t="shared" si="6"/>
        <v>131</v>
      </c>
      <c r="M36" s="5">
        <f t="shared" si="7"/>
        <v>29</v>
      </c>
      <c r="N36" s="5">
        <f t="shared" si="8"/>
        <v>52.44</v>
      </c>
      <c r="O36" s="1">
        <v>60</v>
      </c>
      <c r="P36">
        <f t="shared" si="9"/>
        <v>0.06</v>
      </c>
      <c r="Q36" s="1" t="s">
        <v>92</v>
      </c>
      <c r="R36" t="str">
        <f t="shared" si="10"/>
        <v>22/10/2015</v>
      </c>
      <c r="S36">
        <f t="shared" si="11"/>
        <v>2015</v>
      </c>
      <c r="T36">
        <f t="shared" si="12"/>
        <v>10</v>
      </c>
      <c r="U36" t="str">
        <f t="shared" si="13"/>
        <v>10</v>
      </c>
      <c r="V36">
        <f t="shared" si="14"/>
        <v>22</v>
      </c>
      <c r="W36" t="str">
        <f t="shared" si="15"/>
        <v>22</v>
      </c>
      <c r="X36" t="str">
        <f t="shared" si="16"/>
        <v>https://api.geomagnetism.ga.gov.au/agrf?latd=-31&amp;latm=3&amp;lats=38.41&amp;lond=131&amp;lonm=29&amp;lons=52.44&amp;year=2015&amp;month=10&amp;day=22&amp;elev=0.06&amp;Ein=D&amp;Ein=d</v>
      </c>
    </row>
    <row r="37" spans="1:24" ht="17" x14ac:dyDescent="0.25">
      <c r="A37" s="1" t="s">
        <v>35</v>
      </c>
      <c r="B37" s="1">
        <v>-29.516220000000001</v>
      </c>
      <c r="C37" s="1">
        <v>131.84950000000001</v>
      </c>
      <c r="D37" t="s">
        <v>560</v>
      </c>
      <c r="E37" t="s">
        <v>561</v>
      </c>
      <c r="F37" t="str">
        <f t="shared" si="0"/>
        <v>-29° 30' 58.39"</v>
      </c>
      <c r="G37" t="str">
        <f t="shared" si="1"/>
        <v>131° 50' 58.20"</v>
      </c>
      <c r="H37" s="5">
        <f t="shared" si="2"/>
        <v>29</v>
      </c>
      <c r="I37" s="5">
        <f t="shared" si="3"/>
        <v>-29</v>
      </c>
      <c r="J37" s="5">
        <f t="shared" si="4"/>
        <v>30</v>
      </c>
      <c r="K37" s="5">
        <f t="shared" si="5"/>
        <v>58.39</v>
      </c>
      <c r="L37" s="5">
        <f t="shared" si="6"/>
        <v>131</v>
      </c>
      <c r="M37" s="5">
        <f t="shared" si="7"/>
        <v>50</v>
      </c>
      <c r="N37" s="5">
        <f t="shared" si="8"/>
        <v>58.2</v>
      </c>
      <c r="O37" s="1">
        <v>204</v>
      </c>
      <c r="P37">
        <f t="shared" si="9"/>
        <v>0.20399999999999999</v>
      </c>
      <c r="Q37" s="1" t="s">
        <v>93</v>
      </c>
      <c r="R37" t="str">
        <f t="shared" si="10"/>
        <v>17/09/2015</v>
      </c>
      <c r="S37">
        <f t="shared" si="11"/>
        <v>2015</v>
      </c>
      <c r="T37">
        <f t="shared" si="12"/>
        <v>9</v>
      </c>
      <c r="U37" t="str">
        <f t="shared" si="13"/>
        <v>09</v>
      </c>
      <c r="V37">
        <f t="shared" si="14"/>
        <v>17</v>
      </c>
      <c r="W37" t="str">
        <f t="shared" si="15"/>
        <v>17</v>
      </c>
      <c r="X37" t="str">
        <f t="shared" si="16"/>
        <v>https://api.geomagnetism.ga.gov.au/agrf?latd=-29&amp;latm=30&amp;lats=58.39&amp;lond=131&amp;lonm=50&amp;lons=58.2&amp;year=2015&amp;month=09&amp;day=17&amp;elev=0.204&amp;Ein=D&amp;Ein=d</v>
      </c>
    </row>
    <row r="38" spans="1:24" ht="17" x14ac:dyDescent="0.25">
      <c r="A38" s="1" t="s">
        <v>36</v>
      </c>
      <c r="B38" s="1">
        <v>-30.522210000000001</v>
      </c>
      <c r="C38" s="1">
        <v>131.95524</v>
      </c>
      <c r="D38" t="s">
        <v>562</v>
      </c>
      <c r="E38" t="s">
        <v>563</v>
      </c>
      <c r="F38" t="str">
        <f t="shared" si="0"/>
        <v>-30° 31' 19.96"</v>
      </c>
      <c r="G38" t="str">
        <f t="shared" si="1"/>
        <v>131° 57' 18.86"</v>
      </c>
      <c r="H38" s="5">
        <f t="shared" si="2"/>
        <v>30</v>
      </c>
      <c r="I38" s="5">
        <f t="shared" si="3"/>
        <v>-30</v>
      </c>
      <c r="J38" s="5">
        <f t="shared" si="4"/>
        <v>31</v>
      </c>
      <c r="K38" s="5">
        <f t="shared" si="5"/>
        <v>19.96</v>
      </c>
      <c r="L38" s="5">
        <f t="shared" si="6"/>
        <v>131</v>
      </c>
      <c r="M38" s="5">
        <f t="shared" si="7"/>
        <v>57</v>
      </c>
      <c r="N38" s="5">
        <f t="shared" si="8"/>
        <v>18.86</v>
      </c>
      <c r="O38" s="1">
        <v>123</v>
      </c>
      <c r="P38">
        <f t="shared" si="9"/>
        <v>0.123</v>
      </c>
      <c r="Q38" s="1" t="s">
        <v>66</v>
      </c>
      <c r="R38" t="str">
        <f t="shared" si="10"/>
        <v>20/10/2015</v>
      </c>
      <c r="S38">
        <f t="shared" si="11"/>
        <v>2015</v>
      </c>
      <c r="T38">
        <f t="shared" si="12"/>
        <v>10</v>
      </c>
      <c r="U38" t="str">
        <f t="shared" si="13"/>
        <v>10</v>
      </c>
      <c r="V38">
        <f t="shared" si="14"/>
        <v>20</v>
      </c>
      <c r="W38" t="str">
        <f t="shared" si="15"/>
        <v>20</v>
      </c>
      <c r="X38" t="str">
        <f t="shared" si="16"/>
        <v>https://api.geomagnetism.ga.gov.au/agrf?latd=-30&amp;latm=31&amp;lats=19.96&amp;lond=131&amp;lonm=57&amp;lons=18.86&amp;year=2015&amp;month=10&amp;day=20&amp;elev=0.123&amp;Ein=D&amp;Ein=d</v>
      </c>
    </row>
    <row r="39" spans="1:24" ht="17" x14ac:dyDescent="0.25">
      <c r="A39" s="1" t="s">
        <v>37</v>
      </c>
      <c r="B39" s="1">
        <v>-30.522210000000001</v>
      </c>
      <c r="C39" s="1">
        <v>131.95524</v>
      </c>
      <c r="D39" t="s">
        <v>562</v>
      </c>
      <c r="E39" t="s">
        <v>563</v>
      </c>
      <c r="F39" t="str">
        <f t="shared" si="0"/>
        <v>-30° 31' 19.96"</v>
      </c>
      <c r="G39" t="str">
        <f t="shared" si="1"/>
        <v>131° 57' 18.86"</v>
      </c>
      <c r="H39" s="5">
        <f t="shared" si="2"/>
        <v>30</v>
      </c>
      <c r="I39" s="5">
        <f t="shared" si="3"/>
        <v>-30</v>
      </c>
      <c r="J39" s="5">
        <f t="shared" si="4"/>
        <v>31</v>
      </c>
      <c r="K39" s="5">
        <f t="shared" si="5"/>
        <v>19.96</v>
      </c>
      <c r="L39" s="5">
        <f t="shared" si="6"/>
        <v>131</v>
      </c>
      <c r="M39" s="5">
        <f t="shared" si="7"/>
        <v>57</v>
      </c>
      <c r="N39" s="5">
        <f t="shared" si="8"/>
        <v>18.86</v>
      </c>
      <c r="O39" s="1">
        <v>123</v>
      </c>
      <c r="P39">
        <f t="shared" si="9"/>
        <v>0.123</v>
      </c>
      <c r="Q39" s="1" t="s">
        <v>94</v>
      </c>
      <c r="R39" t="str">
        <f t="shared" si="10"/>
        <v>13/11/2015</v>
      </c>
      <c r="S39">
        <f t="shared" si="11"/>
        <v>2015</v>
      </c>
      <c r="T39">
        <f t="shared" si="12"/>
        <v>11</v>
      </c>
      <c r="U39" t="str">
        <f t="shared" si="13"/>
        <v>11</v>
      </c>
      <c r="V39">
        <f t="shared" si="14"/>
        <v>13</v>
      </c>
      <c r="W39" t="str">
        <f t="shared" si="15"/>
        <v>13</v>
      </c>
      <c r="X39" t="str">
        <f t="shared" si="16"/>
        <v>https://api.geomagnetism.ga.gov.au/agrf?latd=-30&amp;latm=31&amp;lats=19.96&amp;lond=131&amp;lonm=57&amp;lons=18.86&amp;year=2015&amp;month=11&amp;day=13&amp;elev=0.123&amp;Ein=D&amp;Ein=d</v>
      </c>
    </row>
    <row r="40" spans="1:24" ht="17" x14ac:dyDescent="0.25">
      <c r="A40" s="1" t="s">
        <v>38</v>
      </c>
      <c r="B40" s="1">
        <v>-28.560269999999999</v>
      </c>
      <c r="C40" s="1">
        <v>131.99912</v>
      </c>
      <c r="D40" t="s">
        <v>564</v>
      </c>
      <c r="E40" t="s">
        <v>565</v>
      </c>
      <c r="F40" t="str">
        <f t="shared" si="0"/>
        <v>-28° 33' 36.97"</v>
      </c>
      <c r="G40" t="str">
        <f t="shared" si="1"/>
        <v>131° 59' 56.83"</v>
      </c>
      <c r="H40" s="5">
        <f t="shared" si="2"/>
        <v>28</v>
      </c>
      <c r="I40" s="5">
        <f t="shared" si="3"/>
        <v>-28</v>
      </c>
      <c r="J40" s="5">
        <f t="shared" si="4"/>
        <v>33</v>
      </c>
      <c r="K40" s="5">
        <f t="shared" si="5"/>
        <v>36.97</v>
      </c>
      <c r="L40" s="5">
        <f t="shared" si="6"/>
        <v>131</v>
      </c>
      <c r="M40" s="5">
        <f t="shared" si="7"/>
        <v>59</v>
      </c>
      <c r="N40" s="5">
        <f t="shared" si="8"/>
        <v>56.83</v>
      </c>
      <c r="O40" s="1">
        <v>271</v>
      </c>
      <c r="P40">
        <f t="shared" si="9"/>
        <v>0.27100000000000002</v>
      </c>
      <c r="Q40" s="1" t="s">
        <v>90</v>
      </c>
      <c r="R40" t="str">
        <f t="shared" si="10"/>
        <v>19/09/2015</v>
      </c>
      <c r="S40">
        <f t="shared" si="11"/>
        <v>2015</v>
      </c>
      <c r="T40">
        <f t="shared" si="12"/>
        <v>9</v>
      </c>
      <c r="U40" t="str">
        <f t="shared" si="13"/>
        <v>09</v>
      </c>
      <c r="V40">
        <f t="shared" si="14"/>
        <v>19</v>
      </c>
      <c r="W40" t="str">
        <f t="shared" si="15"/>
        <v>19</v>
      </c>
      <c r="X40" t="str">
        <f t="shared" si="16"/>
        <v>https://api.geomagnetism.ga.gov.au/agrf?latd=-28&amp;latm=33&amp;lats=36.97&amp;lond=131&amp;lonm=59&amp;lons=56.83&amp;year=2015&amp;month=09&amp;day=19&amp;elev=0.271&amp;Ein=D&amp;Ein=d</v>
      </c>
    </row>
    <row r="41" spans="1:24" ht="17" x14ac:dyDescent="0.25">
      <c r="A41" s="1" t="s">
        <v>39</v>
      </c>
      <c r="B41" s="1">
        <v>-31.006620000000002</v>
      </c>
      <c r="C41" s="1">
        <v>131.99972</v>
      </c>
      <c r="D41" t="s">
        <v>566</v>
      </c>
      <c r="E41" t="s">
        <v>567</v>
      </c>
      <c r="F41" t="str">
        <f t="shared" si="0"/>
        <v>-31° 0' 23.83"</v>
      </c>
      <c r="G41" t="str">
        <f t="shared" si="1"/>
        <v>131° 59' 58.99"</v>
      </c>
      <c r="H41" s="5">
        <f t="shared" si="2"/>
        <v>31</v>
      </c>
      <c r="I41" s="5">
        <f t="shared" si="3"/>
        <v>-31</v>
      </c>
      <c r="J41" s="5">
        <f t="shared" si="4"/>
        <v>0</v>
      </c>
      <c r="K41" s="5">
        <f t="shared" si="5"/>
        <v>23.83</v>
      </c>
      <c r="L41" s="5">
        <f t="shared" si="6"/>
        <v>131</v>
      </c>
      <c r="M41" s="5">
        <f t="shared" si="7"/>
        <v>59</v>
      </c>
      <c r="N41" s="5">
        <f t="shared" si="8"/>
        <v>58.99</v>
      </c>
      <c r="O41" s="1">
        <v>67</v>
      </c>
      <c r="P41">
        <f t="shared" si="9"/>
        <v>6.7000000000000004E-2</v>
      </c>
      <c r="Q41" s="1" t="s">
        <v>95</v>
      </c>
      <c r="R41" t="str">
        <f t="shared" si="10"/>
        <v>18/11/2015</v>
      </c>
      <c r="S41">
        <f t="shared" si="11"/>
        <v>2015</v>
      </c>
      <c r="T41">
        <f t="shared" si="12"/>
        <v>11</v>
      </c>
      <c r="U41" t="str">
        <f t="shared" si="13"/>
        <v>11</v>
      </c>
      <c r="V41">
        <f t="shared" si="14"/>
        <v>18</v>
      </c>
      <c r="W41" t="str">
        <f t="shared" si="15"/>
        <v>18</v>
      </c>
      <c r="X41" t="str">
        <f t="shared" si="16"/>
        <v>https://api.geomagnetism.ga.gov.au/agrf?latd=-31&amp;latm=0&amp;lats=23.83&amp;lond=131&amp;lonm=59&amp;lons=58.99&amp;year=2015&amp;month=11&amp;day=18&amp;elev=0.067&amp;Ein=D&amp;Ein=d</v>
      </c>
    </row>
    <row r="42" spans="1:24" ht="17" x14ac:dyDescent="0.25">
      <c r="A42" s="1" t="s">
        <v>40</v>
      </c>
      <c r="B42" s="1">
        <v>-29.904450000000001</v>
      </c>
      <c r="C42" s="1">
        <v>132.00228999999999</v>
      </c>
      <c r="D42" t="s">
        <v>568</v>
      </c>
      <c r="E42" t="s">
        <v>569</v>
      </c>
      <c r="F42" t="str">
        <f t="shared" si="0"/>
        <v>-29° 54' 16.02"</v>
      </c>
      <c r="G42" t="str">
        <f t="shared" si="1"/>
        <v>132° 0' 8.24"</v>
      </c>
      <c r="H42" s="5">
        <f t="shared" si="2"/>
        <v>29</v>
      </c>
      <c r="I42" s="5">
        <f t="shared" si="3"/>
        <v>-29</v>
      </c>
      <c r="J42" s="5">
        <f t="shared" si="4"/>
        <v>54</v>
      </c>
      <c r="K42" s="5">
        <f t="shared" si="5"/>
        <v>16.02</v>
      </c>
      <c r="L42" s="5">
        <f t="shared" si="6"/>
        <v>132</v>
      </c>
      <c r="M42" s="5">
        <f t="shared" si="7"/>
        <v>0</v>
      </c>
      <c r="N42" s="5">
        <f t="shared" si="8"/>
        <v>8.24</v>
      </c>
      <c r="O42" s="1">
        <v>227</v>
      </c>
      <c r="P42">
        <f t="shared" si="9"/>
        <v>0.22700000000000001</v>
      </c>
      <c r="Q42" s="1" t="s">
        <v>93</v>
      </c>
      <c r="R42" t="str">
        <f t="shared" si="10"/>
        <v>17/09/2015</v>
      </c>
      <c r="S42">
        <f t="shared" si="11"/>
        <v>2015</v>
      </c>
      <c r="T42">
        <f t="shared" si="12"/>
        <v>9</v>
      </c>
      <c r="U42" t="str">
        <f t="shared" si="13"/>
        <v>09</v>
      </c>
      <c r="V42">
        <f t="shared" si="14"/>
        <v>17</v>
      </c>
      <c r="W42" t="str">
        <f t="shared" si="15"/>
        <v>17</v>
      </c>
      <c r="X42" t="str">
        <f t="shared" si="16"/>
        <v>https://api.geomagnetism.ga.gov.au/agrf?latd=-29&amp;latm=54&amp;lats=16.02&amp;lond=132&amp;lonm=0&amp;lons=8.24&amp;year=2015&amp;month=09&amp;day=17&amp;elev=0.227&amp;Ein=D&amp;Ein=d</v>
      </c>
    </row>
    <row r="43" spans="1:24" ht="17" x14ac:dyDescent="0.25">
      <c r="A43" s="1" t="s">
        <v>41</v>
      </c>
      <c r="B43" s="1">
        <v>-28.9863</v>
      </c>
      <c r="C43" s="1">
        <v>132.05275</v>
      </c>
      <c r="D43" t="s">
        <v>570</v>
      </c>
      <c r="E43" t="s">
        <v>571</v>
      </c>
      <c r="F43" t="str">
        <f t="shared" si="0"/>
        <v>-28° 59' 10.68"</v>
      </c>
      <c r="G43" t="str">
        <f t="shared" si="1"/>
        <v>132° 3' 9.90"</v>
      </c>
      <c r="H43" s="5">
        <f t="shared" si="2"/>
        <v>28</v>
      </c>
      <c r="I43" s="5">
        <f t="shared" si="3"/>
        <v>-28</v>
      </c>
      <c r="J43" s="5">
        <f t="shared" si="4"/>
        <v>59</v>
      </c>
      <c r="K43" s="5">
        <f t="shared" si="5"/>
        <v>10.68</v>
      </c>
      <c r="L43" s="5">
        <f t="shared" si="6"/>
        <v>132</v>
      </c>
      <c r="M43" s="5">
        <f t="shared" si="7"/>
        <v>3</v>
      </c>
      <c r="N43" s="5">
        <f t="shared" si="8"/>
        <v>9.9</v>
      </c>
      <c r="O43" s="1">
        <v>240</v>
      </c>
      <c r="P43">
        <f t="shared" si="9"/>
        <v>0.24</v>
      </c>
      <c r="Q43" s="1" t="s">
        <v>96</v>
      </c>
      <c r="R43" t="str">
        <f t="shared" si="10"/>
        <v>18/09/2015</v>
      </c>
      <c r="S43">
        <f t="shared" si="11"/>
        <v>2015</v>
      </c>
      <c r="T43">
        <f t="shared" si="12"/>
        <v>9</v>
      </c>
      <c r="U43" t="str">
        <f t="shared" si="13"/>
        <v>09</v>
      </c>
      <c r="V43">
        <f t="shared" si="14"/>
        <v>18</v>
      </c>
      <c r="W43" t="str">
        <f t="shared" si="15"/>
        <v>18</v>
      </c>
      <c r="X43" t="str">
        <f t="shared" si="16"/>
        <v>https://api.geomagnetism.ga.gov.au/agrf?latd=-28&amp;latm=59&amp;lats=10.68&amp;lond=132&amp;lonm=3&amp;lons=9.9&amp;year=2015&amp;month=09&amp;day=18&amp;elev=0.24&amp;Ein=D&amp;Ein=d</v>
      </c>
    </row>
    <row r="44" spans="1:24" ht="17" x14ac:dyDescent="0.25">
      <c r="A44" s="1" t="s">
        <v>42</v>
      </c>
      <c r="B44" s="1">
        <v>-29.866769999999999</v>
      </c>
      <c r="C44" s="1">
        <v>132.48347999999999</v>
      </c>
      <c r="D44" t="s">
        <v>572</v>
      </c>
      <c r="E44" t="s">
        <v>573</v>
      </c>
      <c r="F44" t="str">
        <f t="shared" si="0"/>
        <v>-29° 52' 0.37"</v>
      </c>
      <c r="G44" t="str">
        <f t="shared" si="1"/>
        <v>132° 29' 0.53"</v>
      </c>
      <c r="H44" s="5">
        <f t="shared" si="2"/>
        <v>29</v>
      </c>
      <c r="I44" s="5">
        <f t="shared" si="3"/>
        <v>-29</v>
      </c>
      <c r="J44" s="5">
        <f t="shared" si="4"/>
        <v>52</v>
      </c>
      <c r="K44" s="5">
        <f t="shared" si="5"/>
        <v>0.37</v>
      </c>
      <c r="L44" s="5">
        <f t="shared" si="6"/>
        <v>132</v>
      </c>
      <c r="M44" s="5">
        <f t="shared" si="7"/>
        <v>29</v>
      </c>
      <c r="N44" s="5">
        <f t="shared" si="8"/>
        <v>0.53</v>
      </c>
      <c r="O44" s="1">
        <v>239</v>
      </c>
      <c r="P44">
        <f t="shared" si="9"/>
        <v>0.23899999999999999</v>
      </c>
      <c r="Q44" s="1" t="s">
        <v>93</v>
      </c>
      <c r="R44" t="str">
        <f t="shared" si="10"/>
        <v>17/09/2015</v>
      </c>
      <c r="S44">
        <f t="shared" si="11"/>
        <v>2015</v>
      </c>
      <c r="T44">
        <f t="shared" si="12"/>
        <v>9</v>
      </c>
      <c r="U44" t="str">
        <f t="shared" si="13"/>
        <v>09</v>
      </c>
      <c r="V44">
        <f t="shared" si="14"/>
        <v>17</v>
      </c>
      <c r="W44" t="str">
        <f t="shared" si="15"/>
        <v>17</v>
      </c>
      <c r="X44" t="str">
        <f t="shared" si="16"/>
        <v>https://api.geomagnetism.ga.gov.au/agrf?latd=-29&amp;latm=52&amp;lats=0.37&amp;lond=132&amp;lonm=29&amp;lons=0.53&amp;year=2015&amp;month=09&amp;day=17&amp;elev=0.239&amp;Ein=D&amp;Ein=d</v>
      </c>
    </row>
    <row r="45" spans="1:24" ht="17" x14ac:dyDescent="0.25">
      <c r="A45" s="1" t="s">
        <v>43</v>
      </c>
      <c r="B45" s="1">
        <v>-30.508939999999999</v>
      </c>
      <c r="C45" s="1">
        <v>132.54737</v>
      </c>
      <c r="D45" t="s">
        <v>574</v>
      </c>
      <c r="E45" t="s">
        <v>575</v>
      </c>
      <c r="F45" t="str">
        <f t="shared" si="0"/>
        <v>-30° 30' 32.18"</v>
      </c>
      <c r="G45" t="str">
        <f t="shared" si="1"/>
        <v>132° 32' 50.53"</v>
      </c>
      <c r="H45" s="5">
        <f t="shared" si="2"/>
        <v>30</v>
      </c>
      <c r="I45" s="5">
        <f t="shared" si="3"/>
        <v>-30</v>
      </c>
      <c r="J45" s="5">
        <f t="shared" si="4"/>
        <v>30</v>
      </c>
      <c r="K45" s="5">
        <f t="shared" si="5"/>
        <v>32.18</v>
      </c>
      <c r="L45" s="5">
        <f t="shared" si="6"/>
        <v>132</v>
      </c>
      <c r="M45" s="5">
        <f t="shared" si="7"/>
        <v>32</v>
      </c>
      <c r="N45" s="5">
        <f t="shared" si="8"/>
        <v>50.53</v>
      </c>
      <c r="O45" s="1">
        <v>194</v>
      </c>
      <c r="P45">
        <f t="shared" si="9"/>
        <v>0.19400000000000001</v>
      </c>
      <c r="Q45" s="1" t="s">
        <v>65</v>
      </c>
      <c r="R45" t="str">
        <f t="shared" si="10"/>
        <v>19/10/2015</v>
      </c>
      <c r="S45">
        <f t="shared" si="11"/>
        <v>2015</v>
      </c>
      <c r="T45">
        <f t="shared" si="12"/>
        <v>10</v>
      </c>
      <c r="U45" t="str">
        <f t="shared" si="13"/>
        <v>10</v>
      </c>
      <c r="V45">
        <f t="shared" si="14"/>
        <v>19</v>
      </c>
      <c r="W45" t="str">
        <f t="shared" si="15"/>
        <v>19</v>
      </c>
      <c r="X45" t="str">
        <f t="shared" si="16"/>
        <v>https://api.geomagnetism.ga.gov.au/agrf?latd=-30&amp;latm=30&amp;lats=32.18&amp;lond=132&amp;lonm=32&amp;lons=50.53&amp;year=2015&amp;month=10&amp;day=19&amp;elev=0.194&amp;Ein=D&amp;Ein=d</v>
      </c>
    </row>
    <row r="46" spans="1:24" ht="17" x14ac:dyDescent="0.25">
      <c r="A46" s="1" t="s">
        <v>44</v>
      </c>
      <c r="B46" s="1">
        <v>-28.499040000000001</v>
      </c>
      <c r="C46" s="1">
        <v>132.49332000000001</v>
      </c>
      <c r="D46" t="s">
        <v>576</v>
      </c>
      <c r="E46" t="s">
        <v>577</v>
      </c>
      <c r="F46" t="str">
        <f t="shared" si="0"/>
        <v>-28° 29' 56.54"</v>
      </c>
      <c r="G46" t="str">
        <f t="shared" si="1"/>
        <v>132° 29' 35.95"</v>
      </c>
      <c r="H46" s="5">
        <f t="shared" si="2"/>
        <v>28</v>
      </c>
      <c r="I46" s="5">
        <f t="shared" si="3"/>
        <v>-28</v>
      </c>
      <c r="J46" s="5">
        <f t="shared" si="4"/>
        <v>29</v>
      </c>
      <c r="K46" s="5">
        <f t="shared" si="5"/>
        <v>56.54</v>
      </c>
      <c r="L46" s="5">
        <f t="shared" si="6"/>
        <v>132</v>
      </c>
      <c r="M46" s="5">
        <f t="shared" si="7"/>
        <v>29</v>
      </c>
      <c r="N46" s="5">
        <f t="shared" si="8"/>
        <v>35.950000000000003</v>
      </c>
      <c r="O46" s="1">
        <v>292</v>
      </c>
      <c r="P46">
        <f t="shared" si="9"/>
        <v>0.29199999999999998</v>
      </c>
      <c r="Q46" s="1" t="s">
        <v>96</v>
      </c>
      <c r="R46" t="str">
        <f t="shared" si="10"/>
        <v>18/09/2015</v>
      </c>
      <c r="S46">
        <f t="shared" si="11"/>
        <v>2015</v>
      </c>
      <c r="T46">
        <f t="shared" si="12"/>
        <v>9</v>
      </c>
      <c r="U46" t="str">
        <f t="shared" si="13"/>
        <v>09</v>
      </c>
      <c r="V46">
        <f t="shared" si="14"/>
        <v>18</v>
      </c>
      <c r="W46" t="str">
        <f t="shared" si="15"/>
        <v>18</v>
      </c>
      <c r="X46" t="str">
        <f t="shared" si="16"/>
        <v>https://api.geomagnetism.ga.gov.au/agrf?latd=-28&amp;latm=29&amp;lats=56.54&amp;lond=132&amp;lonm=29&amp;lons=35.95&amp;year=2015&amp;month=09&amp;day=18&amp;elev=0.292&amp;Ein=D&amp;Ein=d</v>
      </c>
    </row>
    <row r="47" spans="1:24" ht="17" x14ac:dyDescent="0.25">
      <c r="A47" s="1" t="s">
        <v>45</v>
      </c>
      <c r="B47" s="1">
        <v>-29.323409999999999</v>
      </c>
      <c r="C47" s="1">
        <v>132.46024</v>
      </c>
      <c r="D47" t="s">
        <v>578</v>
      </c>
      <c r="E47" t="s">
        <v>579</v>
      </c>
      <c r="F47" t="str">
        <f t="shared" si="0"/>
        <v>-29° 19' 24.28"</v>
      </c>
      <c r="G47" t="str">
        <f t="shared" si="1"/>
        <v>132° 27' 36.86"</v>
      </c>
      <c r="H47" s="5">
        <f t="shared" si="2"/>
        <v>29</v>
      </c>
      <c r="I47" s="5">
        <f t="shared" si="3"/>
        <v>-29</v>
      </c>
      <c r="J47" s="5">
        <f t="shared" si="4"/>
        <v>19</v>
      </c>
      <c r="K47" s="5">
        <f t="shared" si="5"/>
        <v>24.28</v>
      </c>
      <c r="L47" s="5">
        <f t="shared" si="6"/>
        <v>132</v>
      </c>
      <c r="M47" s="5">
        <f t="shared" si="7"/>
        <v>27</v>
      </c>
      <c r="N47" s="5">
        <f t="shared" si="8"/>
        <v>36.86</v>
      </c>
      <c r="O47" s="1">
        <v>243</v>
      </c>
      <c r="P47">
        <f t="shared" si="9"/>
        <v>0.24299999999999999</v>
      </c>
      <c r="Q47" s="1" t="s">
        <v>93</v>
      </c>
      <c r="R47" t="str">
        <f t="shared" si="10"/>
        <v>17/09/2015</v>
      </c>
      <c r="S47">
        <f t="shared" si="11"/>
        <v>2015</v>
      </c>
      <c r="T47">
        <f t="shared" si="12"/>
        <v>9</v>
      </c>
      <c r="U47" t="str">
        <f t="shared" si="13"/>
        <v>09</v>
      </c>
      <c r="V47">
        <f t="shared" si="14"/>
        <v>17</v>
      </c>
      <c r="W47" t="str">
        <f t="shared" si="15"/>
        <v>17</v>
      </c>
      <c r="X47" t="str">
        <f t="shared" si="16"/>
        <v>https://api.geomagnetism.ga.gov.au/agrf?latd=-29&amp;latm=19&amp;lats=24.28&amp;lond=132&amp;lonm=27&amp;lons=36.86&amp;year=2015&amp;month=09&amp;day=17&amp;elev=0.243&amp;Ein=D&amp;Ein=d</v>
      </c>
    </row>
    <row r="48" spans="1:24" ht="17" x14ac:dyDescent="0.25">
      <c r="A48" s="1" t="s">
        <v>46</v>
      </c>
      <c r="B48" s="1">
        <v>-28.499020000000002</v>
      </c>
      <c r="C48" s="1">
        <v>129.03568999999999</v>
      </c>
      <c r="D48" t="s">
        <v>580</v>
      </c>
      <c r="E48" t="s">
        <v>581</v>
      </c>
      <c r="F48" t="str">
        <f t="shared" si="0"/>
        <v>-28° 29' 56.47"</v>
      </c>
      <c r="G48" t="str">
        <f t="shared" si="1"/>
        <v>129° 2' 8.48"</v>
      </c>
      <c r="H48" s="5">
        <f t="shared" si="2"/>
        <v>28</v>
      </c>
      <c r="I48" s="5">
        <f t="shared" si="3"/>
        <v>-28</v>
      </c>
      <c r="J48" s="5">
        <f t="shared" si="4"/>
        <v>29</v>
      </c>
      <c r="K48" s="5">
        <f t="shared" si="5"/>
        <v>56.47</v>
      </c>
      <c r="L48" s="5">
        <f t="shared" si="6"/>
        <v>129</v>
      </c>
      <c r="M48" s="5">
        <f t="shared" si="7"/>
        <v>2</v>
      </c>
      <c r="N48" s="5">
        <f t="shared" si="8"/>
        <v>8.48</v>
      </c>
      <c r="O48" s="1">
        <v>295</v>
      </c>
      <c r="P48">
        <f t="shared" si="9"/>
        <v>0.29499999999999998</v>
      </c>
      <c r="Q48" s="1" t="s">
        <v>62</v>
      </c>
      <c r="R48" t="str">
        <f t="shared" si="10"/>
        <v>17/10/2015</v>
      </c>
      <c r="S48">
        <f t="shared" si="11"/>
        <v>2015</v>
      </c>
      <c r="T48">
        <f t="shared" si="12"/>
        <v>10</v>
      </c>
      <c r="U48" t="str">
        <f t="shared" si="13"/>
        <v>10</v>
      </c>
      <c r="V48">
        <f t="shared" si="14"/>
        <v>17</v>
      </c>
      <c r="W48" t="str">
        <f t="shared" si="15"/>
        <v>17</v>
      </c>
      <c r="X48" t="str">
        <f t="shared" si="16"/>
        <v>https://api.geomagnetism.ga.gov.au/agrf?latd=-28&amp;latm=29&amp;lats=56.47&amp;lond=129&amp;lonm=2&amp;lons=8.48&amp;year=2015&amp;month=10&amp;day=17&amp;elev=0.295&amp;Ein=D&amp;Ein=d</v>
      </c>
    </row>
    <row r="49" spans="1:24" ht="17" x14ac:dyDescent="0.25">
      <c r="A49" s="1" t="s">
        <v>47</v>
      </c>
      <c r="B49" s="1">
        <v>-29.047460000000001</v>
      </c>
      <c r="C49" s="1">
        <v>129.00671</v>
      </c>
      <c r="D49" t="s">
        <v>582</v>
      </c>
      <c r="E49" t="s">
        <v>583</v>
      </c>
      <c r="F49" t="str">
        <f t="shared" si="0"/>
        <v>-29° 2' 50.86"</v>
      </c>
      <c r="G49" t="str">
        <f t="shared" si="1"/>
        <v>129° 0' 24.16"</v>
      </c>
      <c r="H49" s="5">
        <f t="shared" si="2"/>
        <v>29</v>
      </c>
      <c r="I49" s="5">
        <f t="shared" si="3"/>
        <v>-29</v>
      </c>
      <c r="J49" s="5">
        <f t="shared" si="4"/>
        <v>2</v>
      </c>
      <c r="K49" s="5">
        <f t="shared" si="5"/>
        <v>50.86</v>
      </c>
      <c r="L49" s="5">
        <f t="shared" si="6"/>
        <v>129</v>
      </c>
      <c r="M49" s="5">
        <f t="shared" si="7"/>
        <v>0</v>
      </c>
      <c r="N49" s="5">
        <f t="shared" si="8"/>
        <v>24.16</v>
      </c>
      <c r="O49" s="1">
        <v>290</v>
      </c>
      <c r="P49">
        <f t="shared" si="9"/>
        <v>0.28999999999999998</v>
      </c>
      <c r="Q49" s="1" t="s">
        <v>62</v>
      </c>
      <c r="R49" t="str">
        <f t="shared" si="10"/>
        <v>17/10/2015</v>
      </c>
      <c r="S49">
        <f t="shared" si="11"/>
        <v>2015</v>
      </c>
      <c r="T49">
        <f t="shared" si="12"/>
        <v>10</v>
      </c>
      <c r="U49" t="str">
        <f t="shared" si="13"/>
        <v>10</v>
      </c>
      <c r="V49">
        <f t="shared" si="14"/>
        <v>17</v>
      </c>
      <c r="W49" t="str">
        <f t="shared" si="15"/>
        <v>17</v>
      </c>
      <c r="X49" t="str">
        <f t="shared" si="16"/>
        <v>https://api.geomagnetism.ga.gov.au/agrf?latd=-29&amp;latm=2&amp;lats=50.86&amp;lond=129&amp;lonm=0&amp;lons=24.16&amp;year=2015&amp;month=10&amp;day=17&amp;elev=0.29&amp;Ein=D&amp;Ein=d</v>
      </c>
    </row>
    <row r="50" spans="1:24" ht="17" x14ac:dyDescent="0.25">
      <c r="A50" s="1" t="s">
        <v>48</v>
      </c>
      <c r="B50" s="1">
        <v>-29.581040000000002</v>
      </c>
      <c r="C50" s="1">
        <v>129.00712999999999</v>
      </c>
      <c r="D50" t="s">
        <v>584</v>
      </c>
      <c r="E50" t="s">
        <v>585</v>
      </c>
      <c r="F50" t="str">
        <f t="shared" si="0"/>
        <v>-29° 34' 51.74"</v>
      </c>
      <c r="G50" t="str">
        <f t="shared" si="1"/>
        <v>129° 0' 25.67"</v>
      </c>
      <c r="H50" s="5">
        <f t="shared" si="2"/>
        <v>29</v>
      </c>
      <c r="I50" s="5">
        <f t="shared" si="3"/>
        <v>-29</v>
      </c>
      <c r="J50" s="5">
        <f t="shared" si="4"/>
        <v>34</v>
      </c>
      <c r="K50" s="5">
        <f t="shared" si="5"/>
        <v>51.74</v>
      </c>
      <c r="L50" s="5">
        <f t="shared" si="6"/>
        <v>129</v>
      </c>
      <c r="M50" s="5">
        <f t="shared" si="7"/>
        <v>0</v>
      </c>
      <c r="N50" s="5">
        <f t="shared" si="8"/>
        <v>25.67</v>
      </c>
      <c r="O50" s="1">
        <v>197</v>
      </c>
      <c r="P50">
        <f t="shared" si="9"/>
        <v>0.19700000000000001</v>
      </c>
      <c r="Q50" s="1" t="s">
        <v>85</v>
      </c>
      <c r="R50" t="str">
        <f t="shared" si="10"/>
        <v>16/10/2015</v>
      </c>
      <c r="S50">
        <f t="shared" si="11"/>
        <v>2015</v>
      </c>
      <c r="T50">
        <f t="shared" si="12"/>
        <v>10</v>
      </c>
      <c r="U50" t="str">
        <f t="shared" si="13"/>
        <v>10</v>
      </c>
      <c r="V50">
        <f t="shared" si="14"/>
        <v>16</v>
      </c>
      <c r="W50" t="str">
        <f t="shared" si="15"/>
        <v>16</v>
      </c>
      <c r="X50" t="str">
        <f t="shared" si="16"/>
        <v>https://api.geomagnetism.ga.gov.au/agrf?latd=-29&amp;latm=34&amp;lats=51.74&amp;lond=129&amp;lonm=0&amp;lons=25.67&amp;year=2015&amp;month=10&amp;day=16&amp;elev=0.197&amp;Ein=D&amp;Ein=d</v>
      </c>
    </row>
    <row r="51" spans="1:24" ht="17" x14ac:dyDescent="0.25">
      <c r="A51" s="1" t="s">
        <v>49</v>
      </c>
      <c r="B51" s="1">
        <v>-29.581040000000002</v>
      </c>
      <c r="C51" s="1">
        <v>129.00712999999999</v>
      </c>
      <c r="D51" t="s">
        <v>584</v>
      </c>
      <c r="E51" t="s">
        <v>585</v>
      </c>
      <c r="F51" t="str">
        <f t="shared" si="0"/>
        <v>-29° 34' 51.74"</v>
      </c>
      <c r="G51" t="str">
        <f t="shared" si="1"/>
        <v>129° 0' 25.67"</v>
      </c>
      <c r="H51" s="5">
        <f t="shared" si="2"/>
        <v>29</v>
      </c>
      <c r="I51" s="5">
        <f t="shared" si="3"/>
        <v>-29</v>
      </c>
      <c r="J51" s="5">
        <f t="shared" si="4"/>
        <v>34</v>
      </c>
      <c r="K51" s="5">
        <f t="shared" si="5"/>
        <v>51.74</v>
      </c>
      <c r="L51" s="5">
        <f t="shared" si="6"/>
        <v>129</v>
      </c>
      <c r="M51" s="5">
        <f t="shared" si="7"/>
        <v>0</v>
      </c>
      <c r="N51" s="5">
        <f t="shared" si="8"/>
        <v>25.67</v>
      </c>
      <c r="O51" s="1">
        <v>197</v>
      </c>
      <c r="P51">
        <f t="shared" si="9"/>
        <v>0.19700000000000001</v>
      </c>
      <c r="Q51" s="1" t="s">
        <v>87</v>
      </c>
      <c r="R51" t="str">
        <f t="shared" si="10"/>
        <v>16/11/2015</v>
      </c>
      <c r="S51">
        <f t="shared" si="11"/>
        <v>2015</v>
      </c>
      <c r="T51">
        <f t="shared" si="12"/>
        <v>11</v>
      </c>
      <c r="U51" t="str">
        <f t="shared" si="13"/>
        <v>11</v>
      </c>
      <c r="V51">
        <f t="shared" si="14"/>
        <v>16</v>
      </c>
      <c r="W51" t="str">
        <f t="shared" si="15"/>
        <v>16</v>
      </c>
      <c r="X51" t="str">
        <f t="shared" si="16"/>
        <v>https://api.geomagnetism.ga.gov.au/agrf?latd=-29&amp;latm=34&amp;lats=51.74&amp;lond=129&amp;lonm=0&amp;lons=25.67&amp;year=2015&amp;month=11&amp;day=16&amp;elev=0.197&amp;Ein=D&amp;Ein=d</v>
      </c>
    </row>
    <row r="52" spans="1:24" ht="17" x14ac:dyDescent="0.25">
      <c r="A52" s="1" t="s">
        <v>50</v>
      </c>
      <c r="B52" s="1">
        <v>-30.00318</v>
      </c>
      <c r="C52" s="1">
        <v>128.97024999999999</v>
      </c>
      <c r="D52" t="s">
        <v>586</v>
      </c>
      <c r="E52" t="s">
        <v>587</v>
      </c>
      <c r="F52" t="str">
        <f t="shared" si="0"/>
        <v>-30° 0' 11.45"</v>
      </c>
      <c r="G52" t="str">
        <f t="shared" si="1"/>
        <v>128° 58' 12.90"</v>
      </c>
      <c r="H52" s="5">
        <f t="shared" si="2"/>
        <v>30</v>
      </c>
      <c r="I52" s="5">
        <f t="shared" si="3"/>
        <v>-30</v>
      </c>
      <c r="J52" s="5">
        <f t="shared" si="4"/>
        <v>0</v>
      </c>
      <c r="K52" s="5">
        <f t="shared" si="5"/>
        <v>11.45</v>
      </c>
      <c r="L52" s="5">
        <f t="shared" si="6"/>
        <v>128</v>
      </c>
      <c r="M52" s="5">
        <f t="shared" si="7"/>
        <v>58</v>
      </c>
      <c r="N52" s="5">
        <f t="shared" si="8"/>
        <v>12.9</v>
      </c>
      <c r="O52" s="1">
        <v>185</v>
      </c>
      <c r="P52">
        <f t="shared" si="9"/>
        <v>0.185</v>
      </c>
      <c r="Q52" s="1" t="s">
        <v>62</v>
      </c>
      <c r="R52" t="str">
        <f t="shared" si="10"/>
        <v>17/10/2015</v>
      </c>
      <c r="S52">
        <f t="shared" si="11"/>
        <v>2015</v>
      </c>
      <c r="T52">
        <f t="shared" si="12"/>
        <v>10</v>
      </c>
      <c r="U52" t="str">
        <f t="shared" si="13"/>
        <v>10</v>
      </c>
      <c r="V52">
        <f t="shared" si="14"/>
        <v>17</v>
      </c>
      <c r="W52" t="str">
        <f t="shared" si="15"/>
        <v>17</v>
      </c>
      <c r="X52" t="str">
        <f t="shared" si="16"/>
        <v>https://api.geomagnetism.ga.gov.au/agrf?latd=-30&amp;latm=0&amp;lats=11.45&amp;lond=128&amp;lonm=58&amp;lons=12.9&amp;year=2015&amp;month=10&amp;day=17&amp;elev=0.185&amp;Ein=D&amp;Ein=d</v>
      </c>
    </row>
    <row r="53" spans="1:24" ht="17" x14ac:dyDescent="0.25">
      <c r="A53" s="1" t="s">
        <v>51</v>
      </c>
      <c r="B53" s="1">
        <v>-30.472989999999999</v>
      </c>
      <c r="C53" s="1">
        <v>129.01228</v>
      </c>
      <c r="D53" t="s">
        <v>588</v>
      </c>
      <c r="E53" t="s">
        <v>589</v>
      </c>
      <c r="F53" t="str">
        <f t="shared" si="0"/>
        <v>-30° 28' 22.76"</v>
      </c>
      <c r="G53" t="str">
        <f t="shared" si="1"/>
        <v>129° 0' 44.21"</v>
      </c>
      <c r="H53" s="5">
        <f t="shared" si="2"/>
        <v>30</v>
      </c>
      <c r="I53" s="5">
        <f t="shared" si="3"/>
        <v>-30</v>
      </c>
      <c r="J53" s="5">
        <f t="shared" si="4"/>
        <v>28</v>
      </c>
      <c r="K53" s="5">
        <f t="shared" si="5"/>
        <v>22.76</v>
      </c>
      <c r="L53" s="5">
        <f t="shared" si="6"/>
        <v>129</v>
      </c>
      <c r="M53" s="5">
        <f t="shared" si="7"/>
        <v>0</v>
      </c>
      <c r="N53" s="5">
        <f t="shared" si="8"/>
        <v>44.21</v>
      </c>
      <c r="O53" s="1">
        <v>170</v>
      </c>
      <c r="P53">
        <f t="shared" si="9"/>
        <v>0.17</v>
      </c>
      <c r="Q53" s="1" t="s">
        <v>66</v>
      </c>
      <c r="R53" t="str">
        <f t="shared" si="10"/>
        <v>20/10/2015</v>
      </c>
      <c r="S53">
        <f t="shared" si="11"/>
        <v>2015</v>
      </c>
      <c r="T53">
        <f t="shared" si="12"/>
        <v>10</v>
      </c>
      <c r="U53" t="str">
        <f t="shared" si="13"/>
        <v>10</v>
      </c>
      <c r="V53">
        <f t="shared" si="14"/>
        <v>20</v>
      </c>
      <c r="W53" t="str">
        <f t="shared" si="15"/>
        <v>20</v>
      </c>
      <c r="X53" t="str">
        <f t="shared" si="16"/>
        <v>https://api.geomagnetism.ga.gov.au/agrf?latd=-30&amp;latm=28&amp;lats=22.76&amp;lond=129&amp;lonm=0&amp;lons=44.21&amp;year=2015&amp;month=10&amp;day=20&amp;elev=0.17&amp;Ein=D&amp;Ein=d</v>
      </c>
    </row>
    <row r="54" spans="1:24" ht="17" x14ac:dyDescent="0.25">
      <c r="A54" s="1" t="s">
        <v>52</v>
      </c>
      <c r="B54" s="1">
        <v>-30.99428</v>
      </c>
      <c r="C54" s="1">
        <v>129.01729</v>
      </c>
      <c r="D54" t="s">
        <v>590</v>
      </c>
      <c r="E54" t="s">
        <v>591</v>
      </c>
      <c r="F54" t="str">
        <f t="shared" si="0"/>
        <v>-30° 59' 39.41"</v>
      </c>
      <c r="G54" t="str">
        <f t="shared" si="1"/>
        <v>129° 1' 2.24"</v>
      </c>
      <c r="H54" s="5">
        <f t="shared" si="2"/>
        <v>30</v>
      </c>
      <c r="I54" s="5">
        <f t="shared" si="3"/>
        <v>-30</v>
      </c>
      <c r="J54" s="5">
        <f t="shared" si="4"/>
        <v>59</v>
      </c>
      <c r="K54" s="5">
        <f t="shared" si="5"/>
        <v>39.409999999999997</v>
      </c>
      <c r="L54" s="5">
        <f t="shared" si="6"/>
        <v>129</v>
      </c>
      <c r="M54" s="5">
        <f t="shared" si="7"/>
        <v>1</v>
      </c>
      <c r="N54" s="5">
        <f t="shared" si="8"/>
        <v>2.2400000000000002</v>
      </c>
      <c r="O54" s="1">
        <v>141</v>
      </c>
      <c r="P54">
        <f t="shared" si="9"/>
        <v>0.14099999999999999</v>
      </c>
      <c r="Q54" s="1" t="s">
        <v>89</v>
      </c>
      <c r="R54" t="str">
        <f t="shared" si="10"/>
        <v>21/10/2015</v>
      </c>
      <c r="S54">
        <f t="shared" si="11"/>
        <v>2015</v>
      </c>
      <c r="T54">
        <f t="shared" si="12"/>
        <v>10</v>
      </c>
      <c r="U54" t="str">
        <f t="shared" si="13"/>
        <v>10</v>
      </c>
      <c r="V54">
        <f t="shared" si="14"/>
        <v>21</v>
      </c>
      <c r="W54" t="str">
        <f t="shared" si="15"/>
        <v>21</v>
      </c>
      <c r="X54" t="str">
        <f t="shared" si="16"/>
        <v>https://api.geomagnetism.ga.gov.au/agrf?latd=-30&amp;latm=59&amp;lats=39.41&amp;lond=129&amp;lonm=1&amp;lons=2.24&amp;year=2015&amp;month=10&amp;day=21&amp;elev=0.141&amp;Ein=D&amp;Ein=d</v>
      </c>
    </row>
    <row r="55" spans="1:24" ht="17" x14ac:dyDescent="0.25">
      <c r="A55" s="1" t="s">
        <v>53</v>
      </c>
      <c r="B55" s="1">
        <v>-31.490459999999999</v>
      </c>
      <c r="C55" s="1">
        <v>129.00210000000001</v>
      </c>
      <c r="D55" t="s">
        <v>592</v>
      </c>
      <c r="E55" t="s">
        <v>593</v>
      </c>
      <c r="F55" t="str">
        <f t="shared" si="0"/>
        <v>-31° 29' 25.66"</v>
      </c>
      <c r="G55" t="str">
        <f t="shared" si="1"/>
        <v>129° 0' 7.56"</v>
      </c>
      <c r="H55" s="5">
        <f t="shared" si="2"/>
        <v>31</v>
      </c>
      <c r="I55" s="5">
        <f t="shared" si="3"/>
        <v>-31</v>
      </c>
      <c r="J55" s="5">
        <f t="shared" si="4"/>
        <v>29</v>
      </c>
      <c r="K55" s="5">
        <f t="shared" si="5"/>
        <v>25.66</v>
      </c>
      <c r="L55" s="5">
        <f t="shared" si="6"/>
        <v>129</v>
      </c>
      <c r="M55" s="5">
        <f t="shared" si="7"/>
        <v>0</v>
      </c>
      <c r="N55" s="5">
        <f t="shared" si="8"/>
        <v>7.56</v>
      </c>
      <c r="O55" s="1">
        <v>104</v>
      </c>
      <c r="P55">
        <f t="shared" si="9"/>
        <v>0.104</v>
      </c>
      <c r="Q55" s="1" t="s">
        <v>63</v>
      </c>
      <c r="R55" t="str">
        <f t="shared" si="10"/>
        <v>15/11/2015</v>
      </c>
      <c r="S55">
        <f t="shared" si="11"/>
        <v>2015</v>
      </c>
      <c r="T55">
        <f t="shared" si="12"/>
        <v>11</v>
      </c>
      <c r="U55" t="str">
        <f t="shared" si="13"/>
        <v>11</v>
      </c>
      <c r="V55">
        <f t="shared" si="14"/>
        <v>15</v>
      </c>
      <c r="W55" t="str">
        <f t="shared" si="15"/>
        <v>15</v>
      </c>
      <c r="X55" t="str">
        <f t="shared" si="16"/>
        <v>https://api.geomagnetism.ga.gov.au/agrf?latd=-31&amp;latm=29&amp;lats=25.66&amp;lond=129&amp;lonm=0&amp;lons=7.56&amp;year=2015&amp;month=11&amp;day=15&amp;elev=0.104&amp;Ein=D&amp;Ein=d</v>
      </c>
    </row>
    <row r="56" spans="1:24" ht="17" x14ac:dyDescent="0.25">
      <c r="A56" s="1" t="s">
        <v>54</v>
      </c>
      <c r="B56" s="1">
        <v>-29.01305</v>
      </c>
      <c r="C56" s="1">
        <v>131.50193999999999</v>
      </c>
      <c r="D56" t="s">
        <v>594</v>
      </c>
      <c r="E56" t="s">
        <v>595</v>
      </c>
      <c r="F56" t="str">
        <f t="shared" si="0"/>
        <v>-29° 0' 46.98"</v>
      </c>
      <c r="G56" t="str">
        <f t="shared" si="1"/>
        <v>131° 30' 6.98"</v>
      </c>
      <c r="H56" s="5">
        <f t="shared" si="2"/>
        <v>29</v>
      </c>
      <c r="I56" s="5">
        <f t="shared" si="3"/>
        <v>-29</v>
      </c>
      <c r="J56" s="5">
        <f t="shared" si="4"/>
        <v>0</v>
      </c>
      <c r="K56" s="5">
        <f t="shared" si="5"/>
        <v>46.98</v>
      </c>
      <c r="L56" s="5">
        <f t="shared" si="6"/>
        <v>131</v>
      </c>
      <c r="M56" s="5">
        <f t="shared" si="7"/>
        <v>30</v>
      </c>
      <c r="N56" s="5">
        <f t="shared" si="8"/>
        <v>6.98</v>
      </c>
      <c r="O56" s="1">
        <v>230</v>
      </c>
      <c r="P56">
        <f t="shared" si="9"/>
        <v>0.23</v>
      </c>
      <c r="Q56" s="1" t="s">
        <v>90</v>
      </c>
      <c r="R56" t="str">
        <f t="shared" si="10"/>
        <v>19/09/2015</v>
      </c>
      <c r="S56">
        <f t="shared" si="11"/>
        <v>2015</v>
      </c>
      <c r="T56">
        <f t="shared" si="12"/>
        <v>9</v>
      </c>
      <c r="U56" t="str">
        <f t="shared" si="13"/>
        <v>09</v>
      </c>
      <c r="V56">
        <f t="shared" si="14"/>
        <v>19</v>
      </c>
      <c r="W56" t="str">
        <f t="shared" si="15"/>
        <v>19</v>
      </c>
      <c r="X56" t="str">
        <f t="shared" si="16"/>
        <v>https://api.geomagnetism.ga.gov.au/agrf?latd=-29&amp;latm=0&amp;lats=46.98&amp;lond=131&amp;lonm=30&amp;lons=6.98&amp;year=2015&amp;month=09&amp;day=19&amp;elev=0.23&amp;Ein=D&amp;Ein=d</v>
      </c>
    </row>
    <row r="57" spans="1:24" ht="17" x14ac:dyDescent="0.25">
      <c r="A57" s="1" t="s">
        <v>55</v>
      </c>
      <c r="B57" s="1">
        <v>-28.524819999999998</v>
      </c>
      <c r="C57" s="1">
        <v>132.99194</v>
      </c>
      <c r="D57" t="s">
        <v>596</v>
      </c>
      <c r="E57" t="s">
        <v>597</v>
      </c>
      <c r="F57" t="str">
        <f t="shared" si="0"/>
        <v>-28° 31' 29.35"</v>
      </c>
      <c r="G57" t="str">
        <f t="shared" si="1"/>
        <v>132° 59' 30.98"</v>
      </c>
      <c r="H57" s="5">
        <f t="shared" si="2"/>
        <v>28</v>
      </c>
      <c r="I57" s="5">
        <f t="shared" si="3"/>
        <v>-28</v>
      </c>
      <c r="J57" s="5">
        <f t="shared" si="4"/>
        <v>31</v>
      </c>
      <c r="K57" s="5">
        <f t="shared" si="5"/>
        <v>29.35</v>
      </c>
      <c r="L57" s="5">
        <f t="shared" si="6"/>
        <v>132</v>
      </c>
      <c r="M57" s="5">
        <f t="shared" si="7"/>
        <v>59</v>
      </c>
      <c r="N57" s="5">
        <f t="shared" si="8"/>
        <v>30.98</v>
      </c>
      <c r="O57" s="1">
        <v>247</v>
      </c>
      <c r="P57">
        <f t="shared" si="9"/>
        <v>0.247</v>
      </c>
      <c r="Q57" s="1" t="s">
        <v>96</v>
      </c>
      <c r="R57" t="str">
        <f t="shared" si="10"/>
        <v>18/09/2015</v>
      </c>
      <c r="S57">
        <f t="shared" si="11"/>
        <v>2015</v>
      </c>
      <c r="T57">
        <f t="shared" si="12"/>
        <v>9</v>
      </c>
      <c r="U57" t="str">
        <f t="shared" si="13"/>
        <v>09</v>
      </c>
      <c r="V57">
        <f t="shared" si="14"/>
        <v>18</v>
      </c>
      <c r="W57" t="str">
        <f t="shared" si="15"/>
        <v>18</v>
      </c>
      <c r="X57" t="str">
        <f t="shared" si="16"/>
        <v>https://api.geomagnetism.ga.gov.au/agrf?latd=-28&amp;latm=31&amp;lats=29.35&amp;lond=132&amp;lonm=59&amp;lons=30.98&amp;year=2015&amp;month=09&amp;day=18&amp;elev=0.247&amp;Ein=D&amp;Ein=d</v>
      </c>
    </row>
    <row r="58" spans="1:24" ht="17" x14ac:dyDescent="0.25">
      <c r="A58" s="1" t="s">
        <v>59</v>
      </c>
      <c r="B58" s="1">
        <v>-30.51407</v>
      </c>
      <c r="C58" s="1">
        <v>131.49892</v>
      </c>
      <c r="D58" t="s">
        <v>598</v>
      </c>
      <c r="E58" t="s">
        <v>599</v>
      </c>
      <c r="F58" t="str">
        <f t="shared" si="0"/>
        <v>-30° 30' 50.65"</v>
      </c>
      <c r="G58" t="str">
        <f t="shared" si="1"/>
        <v>131° 29' 56.11"</v>
      </c>
      <c r="H58" s="5">
        <f t="shared" si="2"/>
        <v>30</v>
      </c>
      <c r="I58" s="5">
        <f t="shared" si="3"/>
        <v>-30</v>
      </c>
      <c r="J58" s="5">
        <f t="shared" si="4"/>
        <v>30</v>
      </c>
      <c r="K58" s="5">
        <f t="shared" si="5"/>
        <v>50.65</v>
      </c>
      <c r="L58" s="5">
        <f t="shared" si="6"/>
        <v>131</v>
      </c>
      <c r="M58" s="5">
        <f t="shared" si="7"/>
        <v>29</v>
      </c>
      <c r="N58" s="5">
        <f t="shared" si="8"/>
        <v>56.11</v>
      </c>
      <c r="O58" s="1">
        <v>111</v>
      </c>
      <c r="P58">
        <f t="shared" si="9"/>
        <v>0.111</v>
      </c>
      <c r="Q58" s="2" t="s">
        <v>97</v>
      </c>
      <c r="R58" t="str">
        <f t="shared" si="10"/>
        <v>07/12/2015</v>
      </c>
      <c r="S58">
        <f t="shared" si="11"/>
        <v>2015</v>
      </c>
      <c r="T58">
        <f t="shared" si="12"/>
        <v>12</v>
      </c>
      <c r="U58" t="str">
        <f t="shared" si="13"/>
        <v>12</v>
      </c>
      <c r="V58">
        <f t="shared" si="14"/>
        <v>7</v>
      </c>
      <c r="W58" t="str">
        <f t="shared" si="15"/>
        <v>07</v>
      </c>
      <c r="X58" t="str">
        <f t="shared" si="16"/>
        <v>https://api.geomagnetism.ga.gov.au/agrf?latd=-30&amp;latm=30&amp;lats=50.65&amp;lond=131&amp;lonm=29&amp;lons=56.11&amp;year=2015&amp;month=12&amp;day=07&amp;elev=0.111&amp;Ein=D&amp;Ein=d</v>
      </c>
    </row>
    <row r="59" spans="1:24" ht="17" x14ac:dyDescent="0.25">
      <c r="A59" s="1" t="s">
        <v>69</v>
      </c>
      <c r="B59" s="1">
        <v>-31.510149999999999</v>
      </c>
      <c r="C59" s="1">
        <v>138.68270999999999</v>
      </c>
      <c r="D59" t="s">
        <v>600</v>
      </c>
      <c r="E59" t="s">
        <v>601</v>
      </c>
      <c r="F59" t="str">
        <f t="shared" si="0"/>
        <v>-31° 30' 36.54"</v>
      </c>
      <c r="G59" t="str">
        <f t="shared" si="1"/>
        <v>138° 40' 57.76"</v>
      </c>
      <c r="H59" s="5">
        <f t="shared" si="2"/>
        <v>31</v>
      </c>
      <c r="I59" s="5">
        <f t="shared" si="3"/>
        <v>-31</v>
      </c>
      <c r="J59" s="5">
        <f t="shared" si="4"/>
        <v>30</v>
      </c>
      <c r="K59" s="5">
        <f t="shared" si="5"/>
        <v>36.54</v>
      </c>
      <c r="L59" s="5">
        <f t="shared" si="6"/>
        <v>138</v>
      </c>
      <c r="M59" s="5">
        <f t="shared" si="7"/>
        <v>40</v>
      </c>
      <c r="N59" s="5">
        <f t="shared" si="8"/>
        <v>57.76</v>
      </c>
      <c r="O59" s="1">
        <v>438</v>
      </c>
      <c r="P59">
        <f t="shared" si="9"/>
        <v>0.438</v>
      </c>
      <c r="Q59" s="3" t="s">
        <v>98</v>
      </c>
      <c r="R59" t="str">
        <f t="shared" si="10"/>
        <v>14/10/2013</v>
      </c>
      <c r="S59">
        <f t="shared" si="11"/>
        <v>2013</v>
      </c>
      <c r="T59">
        <f t="shared" si="12"/>
        <v>10</v>
      </c>
      <c r="U59" t="str">
        <f t="shared" si="13"/>
        <v>10</v>
      </c>
      <c r="V59">
        <f t="shared" si="14"/>
        <v>14</v>
      </c>
      <c r="W59" t="str">
        <f t="shared" si="15"/>
        <v>14</v>
      </c>
      <c r="X59" t="str">
        <f t="shared" si="16"/>
        <v>https://api.geomagnetism.ga.gov.au/agrf?latd=-31&amp;latm=30&amp;lats=36.54&amp;lond=138&amp;lonm=40&amp;lons=57.76&amp;year=2013&amp;month=10&amp;day=14&amp;elev=0.438&amp;Ein=D&amp;Ein=d</v>
      </c>
    </row>
    <row r="60" spans="1:24" ht="17" x14ac:dyDescent="0.25">
      <c r="A60" s="1" t="s">
        <v>70</v>
      </c>
      <c r="B60" s="1">
        <v>-31.389532110000001</v>
      </c>
      <c r="C60" s="1">
        <v>139.0648611</v>
      </c>
      <c r="D60" t="s">
        <v>602</v>
      </c>
      <c r="E60" t="s">
        <v>603</v>
      </c>
      <c r="F60" t="str">
        <f t="shared" si="0"/>
        <v>-31° 23' 22.32"</v>
      </c>
      <c r="G60" t="str">
        <f t="shared" si="1"/>
        <v>139° 3' 53.50"</v>
      </c>
      <c r="H60" s="5">
        <f t="shared" si="2"/>
        <v>31</v>
      </c>
      <c r="I60" s="5">
        <f t="shared" si="3"/>
        <v>-31</v>
      </c>
      <c r="J60" s="5">
        <f t="shared" si="4"/>
        <v>23</v>
      </c>
      <c r="K60" s="5">
        <f t="shared" si="5"/>
        <v>22.32</v>
      </c>
      <c r="L60" s="5">
        <f t="shared" si="6"/>
        <v>139</v>
      </c>
      <c r="M60" s="5">
        <f t="shared" si="7"/>
        <v>3</v>
      </c>
      <c r="N60" s="5">
        <f t="shared" si="8"/>
        <v>53.5</v>
      </c>
      <c r="O60" s="1">
        <v>190</v>
      </c>
      <c r="P60">
        <f t="shared" si="9"/>
        <v>0.19</v>
      </c>
      <c r="Q60" s="3" t="s">
        <v>99</v>
      </c>
      <c r="R60" t="str">
        <f t="shared" si="10"/>
        <v>22/09/2013</v>
      </c>
      <c r="S60">
        <f t="shared" si="11"/>
        <v>2013</v>
      </c>
      <c r="T60">
        <f t="shared" si="12"/>
        <v>9</v>
      </c>
      <c r="U60" t="str">
        <f t="shared" si="13"/>
        <v>09</v>
      </c>
      <c r="V60">
        <f t="shared" si="14"/>
        <v>22</v>
      </c>
      <c r="W60" t="str">
        <f t="shared" si="15"/>
        <v>22</v>
      </c>
      <c r="X60" t="str">
        <f t="shared" si="16"/>
        <v>https://api.geomagnetism.ga.gov.au/agrf?latd=-31&amp;latm=23&amp;lats=22.32&amp;lond=139&amp;lonm=3&amp;lons=53.5&amp;year=2013&amp;month=09&amp;day=22&amp;elev=0.19&amp;Ein=D&amp;Ein=d</v>
      </c>
    </row>
    <row r="61" spans="1:24" ht="17" x14ac:dyDescent="0.25">
      <c r="A61" s="1" t="s">
        <v>71</v>
      </c>
      <c r="B61" s="1">
        <v>-31.763059999999999</v>
      </c>
      <c r="C61" s="1">
        <v>138.70023</v>
      </c>
      <c r="D61" t="s">
        <v>604</v>
      </c>
      <c r="E61" t="s">
        <v>605</v>
      </c>
      <c r="F61" t="str">
        <f t="shared" si="0"/>
        <v>-31° 45' 47.02"</v>
      </c>
      <c r="G61" t="str">
        <f t="shared" si="1"/>
        <v>138° 42' 0.83"</v>
      </c>
      <c r="H61" s="5">
        <f t="shared" si="2"/>
        <v>31</v>
      </c>
      <c r="I61" s="5">
        <f t="shared" si="3"/>
        <v>-31</v>
      </c>
      <c r="J61" s="5">
        <f t="shared" si="4"/>
        <v>45</v>
      </c>
      <c r="K61" s="5">
        <f t="shared" si="5"/>
        <v>47.02</v>
      </c>
      <c r="L61" s="5">
        <f t="shared" si="6"/>
        <v>138</v>
      </c>
      <c r="M61" s="5">
        <f t="shared" si="7"/>
        <v>42</v>
      </c>
      <c r="N61" s="5">
        <f t="shared" si="8"/>
        <v>0.83</v>
      </c>
      <c r="O61" s="1">
        <v>515</v>
      </c>
      <c r="P61">
        <f t="shared" si="9"/>
        <v>0.51500000000000001</v>
      </c>
      <c r="Q61" s="3" t="s">
        <v>100</v>
      </c>
      <c r="R61" t="str">
        <f t="shared" si="10"/>
        <v>13/10/2013</v>
      </c>
      <c r="S61">
        <f t="shared" si="11"/>
        <v>2013</v>
      </c>
      <c r="T61">
        <f t="shared" si="12"/>
        <v>10</v>
      </c>
      <c r="U61" t="str">
        <f t="shared" si="13"/>
        <v>10</v>
      </c>
      <c r="V61">
        <f t="shared" si="14"/>
        <v>13</v>
      </c>
      <c r="W61" t="str">
        <f t="shared" si="15"/>
        <v>13</v>
      </c>
      <c r="X61" t="str">
        <f t="shared" si="16"/>
        <v>https://api.geomagnetism.ga.gov.au/agrf?latd=-31&amp;latm=45&amp;lats=47.02&amp;lond=138&amp;lonm=42&amp;lons=0.83&amp;year=2013&amp;month=10&amp;day=13&amp;elev=0.515&amp;Ein=D&amp;Ein=d</v>
      </c>
    </row>
    <row r="62" spans="1:24" ht="17" x14ac:dyDescent="0.25">
      <c r="A62" s="1" t="s">
        <v>72</v>
      </c>
      <c r="B62" s="1">
        <v>-32.27846667</v>
      </c>
      <c r="C62" s="1">
        <v>139.70249999999999</v>
      </c>
      <c r="D62" t="s">
        <v>606</v>
      </c>
      <c r="E62" t="s">
        <v>607</v>
      </c>
      <c r="F62" t="str">
        <f t="shared" si="0"/>
        <v>-32° 16' 42.48"</v>
      </c>
      <c r="G62" t="str">
        <f t="shared" si="1"/>
        <v>139° 42' 9.00"</v>
      </c>
      <c r="H62" s="5">
        <f t="shared" si="2"/>
        <v>32</v>
      </c>
      <c r="I62" s="5">
        <f t="shared" si="3"/>
        <v>-32</v>
      </c>
      <c r="J62" s="5">
        <f t="shared" si="4"/>
        <v>16</v>
      </c>
      <c r="K62" s="5">
        <f t="shared" si="5"/>
        <v>42.48</v>
      </c>
      <c r="L62" s="5">
        <f t="shared" si="6"/>
        <v>139</v>
      </c>
      <c r="M62" s="5">
        <f t="shared" si="7"/>
        <v>42</v>
      </c>
      <c r="N62" s="5">
        <f t="shared" si="8"/>
        <v>9</v>
      </c>
      <c r="O62" s="1">
        <v>290</v>
      </c>
      <c r="P62">
        <f t="shared" si="9"/>
        <v>0.28999999999999998</v>
      </c>
      <c r="Q62" s="3" t="s">
        <v>101</v>
      </c>
      <c r="R62" t="str">
        <f t="shared" si="10"/>
        <v>16/10/2013</v>
      </c>
      <c r="S62">
        <f t="shared" si="11"/>
        <v>2013</v>
      </c>
      <c r="T62">
        <f t="shared" si="12"/>
        <v>10</v>
      </c>
      <c r="U62" t="str">
        <f t="shared" si="13"/>
        <v>10</v>
      </c>
      <c r="V62">
        <f t="shared" si="14"/>
        <v>16</v>
      </c>
      <c r="W62" t="str">
        <f t="shared" si="15"/>
        <v>16</v>
      </c>
      <c r="X62" t="str">
        <f t="shared" si="16"/>
        <v>https://api.geomagnetism.ga.gov.au/agrf?latd=-32&amp;latm=16&amp;lats=42.48&amp;lond=139&amp;lonm=42&amp;lons=9&amp;year=2013&amp;month=10&amp;day=16&amp;elev=0.29&amp;Ein=D&amp;Ein=d</v>
      </c>
    </row>
    <row r="63" spans="1:24" ht="17" x14ac:dyDescent="0.25">
      <c r="A63" s="1" t="s">
        <v>73</v>
      </c>
      <c r="B63" s="1">
        <v>-32.25403</v>
      </c>
      <c r="C63" s="1">
        <v>140.38301000000001</v>
      </c>
      <c r="D63" t="s">
        <v>608</v>
      </c>
      <c r="E63" t="s">
        <v>609</v>
      </c>
      <c r="F63" t="str">
        <f t="shared" si="0"/>
        <v>-32° 15' 14.51"</v>
      </c>
      <c r="G63" t="str">
        <f t="shared" si="1"/>
        <v>140° 22' 58.84"</v>
      </c>
      <c r="H63" s="5">
        <f t="shared" si="2"/>
        <v>32</v>
      </c>
      <c r="I63" s="5">
        <f t="shared" si="3"/>
        <v>-32</v>
      </c>
      <c r="J63" s="5">
        <f t="shared" si="4"/>
        <v>15</v>
      </c>
      <c r="K63" s="5">
        <f t="shared" si="5"/>
        <v>14.51</v>
      </c>
      <c r="L63" s="5">
        <f t="shared" si="6"/>
        <v>140</v>
      </c>
      <c r="M63" s="5">
        <f t="shared" si="7"/>
        <v>22</v>
      </c>
      <c r="N63" s="5">
        <f t="shared" si="8"/>
        <v>58.84</v>
      </c>
      <c r="O63" s="1">
        <v>289</v>
      </c>
      <c r="P63">
        <f t="shared" si="9"/>
        <v>0.28899999999999998</v>
      </c>
      <c r="Q63" s="3" t="s">
        <v>101</v>
      </c>
      <c r="R63" t="str">
        <f t="shared" si="10"/>
        <v>16/10/2013</v>
      </c>
      <c r="S63">
        <f t="shared" si="11"/>
        <v>2013</v>
      </c>
      <c r="T63">
        <f t="shared" si="12"/>
        <v>10</v>
      </c>
      <c r="U63" t="str">
        <f t="shared" si="13"/>
        <v>10</v>
      </c>
      <c r="V63">
        <f t="shared" si="14"/>
        <v>16</v>
      </c>
      <c r="W63" t="str">
        <f t="shared" si="15"/>
        <v>16</v>
      </c>
      <c r="X63" t="str">
        <f t="shared" si="16"/>
        <v>https://api.geomagnetism.ga.gov.au/agrf?latd=-32&amp;latm=15&amp;lats=14.51&amp;lond=140&amp;lonm=22&amp;lons=58.84&amp;year=2013&amp;month=10&amp;day=16&amp;elev=0.289&amp;Ein=D&amp;Ein=d</v>
      </c>
    </row>
    <row r="64" spans="1:24" ht="17" x14ac:dyDescent="0.25">
      <c r="A64" s="1" t="s">
        <v>74</v>
      </c>
      <c r="B64" s="1">
        <v>-32.760216669999998</v>
      </c>
      <c r="C64" s="1">
        <v>138.5901667</v>
      </c>
      <c r="D64" t="s">
        <v>610</v>
      </c>
      <c r="E64" t="s">
        <v>611</v>
      </c>
      <c r="F64" t="str">
        <f t="shared" si="0"/>
        <v>-32° 45' 36.78"</v>
      </c>
      <c r="G64" t="str">
        <f t="shared" si="1"/>
        <v>138° 35' 24.60"</v>
      </c>
      <c r="H64" s="5">
        <f t="shared" si="2"/>
        <v>32</v>
      </c>
      <c r="I64" s="5">
        <f t="shared" si="3"/>
        <v>-32</v>
      </c>
      <c r="J64" s="5">
        <f t="shared" si="4"/>
        <v>45</v>
      </c>
      <c r="K64" s="5">
        <f t="shared" si="5"/>
        <v>36.78</v>
      </c>
      <c r="L64" s="5">
        <f t="shared" si="6"/>
        <v>138</v>
      </c>
      <c r="M64" s="5">
        <f t="shared" si="7"/>
        <v>35</v>
      </c>
      <c r="N64" s="5">
        <f t="shared" si="8"/>
        <v>24.6</v>
      </c>
      <c r="O64" s="1">
        <v>482</v>
      </c>
      <c r="P64">
        <f t="shared" si="9"/>
        <v>0.48199999999999998</v>
      </c>
      <c r="Q64" s="3" t="s">
        <v>102</v>
      </c>
      <c r="R64" t="str">
        <f t="shared" si="10"/>
        <v>23/09/2013</v>
      </c>
      <c r="S64">
        <f t="shared" si="11"/>
        <v>2013</v>
      </c>
      <c r="T64">
        <f t="shared" si="12"/>
        <v>9</v>
      </c>
      <c r="U64" t="str">
        <f t="shared" si="13"/>
        <v>09</v>
      </c>
      <c r="V64">
        <f t="shared" si="14"/>
        <v>23</v>
      </c>
      <c r="W64" t="str">
        <f t="shared" si="15"/>
        <v>23</v>
      </c>
      <c r="X64" t="str">
        <f t="shared" si="16"/>
        <v>https://api.geomagnetism.ga.gov.au/agrf?latd=-32&amp;latm=45&amp;lats=36.78&amp;lond=138&amp;lonm=35&amp;lons=24.6&amp;year=2013&amp;month=09&amp;day=23&amp;elev=0.482&amp;Ein=D&amp;Ein=d</v>
      </c>
    </row>
    <row r="65" spans="1:24" ht="17" x14ac:dyDescent="0.25">
      <c r="A65" s="1" t="s">
        <v>75</v>
      </c>
      <c r="B65" s="1">
        <v>-32.735370000000003</v>
      </c>
      <c r="C65" s="1">
        <v>139.76938999999999</v>
      </c>
      <c r="D65" t="s">
        <v>612</v>
      </c>
      <c r="E65" t="s">
        <v>613</v>
      </c>
      <c r="F65" t="str">
        <f t="shared" si="0"/>
        <v>-32° 44' 7.33"</v>
      </c>
      <c r="G65" t="str">
        <f t="shared" si="1"/>
        <v>139° 46' 9.80"</v>
      </c>
      <c r="H65" s="5">
        <f t="shared" si="2"/>
        <v>32</v>
      </c>
      <c r="I65" s="5">
        <f t="shared" si="3"/>
        <v>-32</v>
      </c>
      <c r="J65" s="5">
        <f t="shared" si="4"/>
        <v>44</v>
      </c>
      <c r="K65" s="5">
        <f t="shared" si="5"/>
        <v>7.33</v>
      </c>
      <c r="L65" s="5">
        <f t="shared" si="6"/>
        <v>139</v>
      </c>
      <c r="M65" s="5">
        <f t="shared" si="7"/>
        <v>46</v>
      </c>
      <c r="N65" s="5">
        <f t="shared" si="8"/>
        <v>9.8000000000000007</v>
      </c>
      <c r="O65" s="1">
        <v>259</v>
      </c>
      <c r="P65">
        <f t="shared" si="9"/>
        <v>0.25900000000000001</v>
      </c>
      <c r="Q65" s="3" t="s">
        <v>103</v>
      </c>
      <c r="R65" t="str">
        <f t="shared" si="10"/>
        <v>15/10/2013</v>
      </c>
      <c r="S65">
        <f t="shared" si="11"/>
        <v>2013</v>
      </c>
      <c r="T65">
        <f t="shared" si="12"/>
        <v>10</v>
      </c>
      <c r="U65" t="str">
        <f t="shared" si="13"/>
        <v>10</v>
      </c>
      <c r="V65">
        <f t="shared" si="14"/>
        <v>15</v>
      </c>
      <c r="W65" t="str">
        <f t="shared" si="15"/>
        <v>15</v>
      </c>
      <c r="X65" t="str">
        <f t="shared" si="16"/>
        <v>https://api.geomagnetism.ga.gov.au/agrf?latd=-32&amp;latm=44&amp;lats=7.33&amp;lond=139&amp;lonm=46&amp;lons=9.8&amp;year=2013&amp;month=10&amp;day=15&amp;elev=0.259&amp;Ein=D&amp;Ein=d</v>
      </c>
    </row>
    <row r="66" spans="1:24" ht="17" x14ac:dyDescent="0.25">
      <c r="A66" s="1" t="s">
        <v>76</v>
      </c>
      <c r="B66" s="1">
        <v>-32.730350000000001</v>
      </c>
      <c r="C66" s="1">
        <v>140.20331669999999</v>
      </c>
      <c r="D66" t="s">
        <v>614</v>
      </c>
      <c r="E66" t="s">
        <v>615</v>
      </c>
      <c r="F66" t="str">
        <f t="shared" si="0"/>
        <v>-32° 43' 49.26"</v>
      </c>
      <c r="G66" t="str">
        <f t="shared" si="1"/>
        <v>140° 12' 11.94"</v>
      </c>
      <c r="H66" s="5">
        <f t="shared" si="2"/>
        <v>32</v>
      </c>
      <c r="I66" s="5">
        <f t="shared" si="3"/>
        <v>-32</v>
      </c>
      <c r="J66" s="5">
        <f t="shared" si="4"/>
        <v>43</v>
      </c>
      <c r="K66" s="5">
        <f t="shared" si="5"/>
        <v>49.26</v>
      </c>
      <c r="L66" s="5">
        <f t="shared" si="6"/>
        <v>140</v>
      </c>
      <c r="M66" s="5">
        <f t="shared" si="7"/>
        <v>12</v>
      </c>
      <c r="N66" s="5">
        <f t="shared" si="8"/>
        <v>11.94</v>
      </c>
      <c r="O66" s="1">
        <v>246</v>
      </c>
      <c r="P66">
        <f t="shared" si="9"/>
        <v>0.246</v>
      </c>
      <c r="Q66" s="3" t="s">
        <v>104</v>
      </c>
      <c r="R66" t="str">
        <f t="shared" si="10"/>
        <v>17/10/2013</v>
      </c>
      <c r="S66">
        <f t="shared" si="11"/>
        <v>2013</v>
      </c>
      <c r="T66">
        <f t="shared" si="12"/>
        <v>10</v>
      </c>
      <c r="U66" t="str">
        <f t="shared" si="13"/>
        <v>10</v>
      </c>
      <c r="V66">
        <f t="shared" si="14"/>
        <v>17</v>
      </c>
      <c r="W66" t="str">
        <f t="shared" si="15"/>
        <v>17</v>
      </c>
      <c r="X66" t="str">
        <f t="shared" si="16"/>
        <v>https://api.geomagnetism.ga.gov.au/agrf?latd=-32&amp;latm=43&amp;lats=49.26&amp;lond=140&amp;lonm=12&amp;lons=11.94&amp;year=2013&amp;month=10&amp;day=17&amp;elev=0.246&amp;Ein=D&amp;Ein=d</v>
      </c>
    </row>
    <row r="67" spans="1:24" ht="17" x14ac:dyDescent="0.25">
      <c r="A67" s="1" t="s">
        <v>77</v>
      </c>
      <c r="B67" s="1">
        <v>-33.129379999999998</v>
      </c>
      <c r="C67" s="1">
        <v>138.55930000000001</v>
      </c>
      <c r="D67" t="s">
        <v>616</v>
      </c>
      <c r="E67" t="s">
        <v>617</v>
      </c>
      <c r="F67" t="str">
        <f t="shared" ref="F67:F130" si="17">SUBSTITUTE(D67,"¬∞","°")</f>
        <v>-33° 7' 45.77"</v>
      </c>
      <c r="G67" t="str">
        <f t="shared" ref="G67:G130" si="18">SUBSTITUTE(E67,"¬∞","°")</f>
        <v>138° 33' 33.48"</v>
      </c>
      <c r="H67" s="5">
        <f t="shared" ref="H67:H130" si="19">IF(LEFT(F67,1)="-", -1, 1) * VALUE(LEFT(F67, FIND("°", F67)-1))</f>
        <v>33</v>
      </c>
      <c r="I67" s="5">
        <f t="shared" ref="I67:I130" si="20">-H67</f>
        <v>-33</v>
      </c>
      <c r="J67" s="5">
        <f t="shared" ref="J67:J130" si="21">VALUE(MID(F67, FIND("°",F67)+2, FIND("'",F67)-FIND("°", F67)-2))</f>
        <v>7</v>
      </c>
      <c r="K67" s="5">
        <f t="shared" ref="K67:K130" si="22">VALUE(MID(F67, FIND("'", F67)+2, FIND("""", F67)-FIND("'", F67)-2))</f>
        <v>45.77</v>
      </c>
      <c r="L67" s="5">
        <f t="shared" ref="L67:L130" si="23">IF(LEFT(G67,1)="-", -1, 1) * VALUE(LEFT(G67, FIND("°", G67)-1))</f>
        <v>138</v>
      </c>
      <c r="M67" s="5">
        <f t="shared" ref="M67:M130" si="24">VALUE(MID(G67, FIND("°",G67)+2, FIND("'",G67)-FIND("°", G67)-2))</f>
        <v>33</v>
      </c>
      <c r="N67" s="5">
        <f t="shared" ref="N67:N130" si="25">VALUE(MID(G67, FIND("'", G67)+2, FIND("""",G67)-FIND("'", G67)-2))</f>
        <v>33.479999999999997</v>
      </c>
      <c r="O67" s="1">
        <v>515</v>
      </c>
      <c r="P67">
        <f t="shared" ref="P67:P124" si="26">O67/1000</f>
        <v>0.51500000000000001</v>
      </c>
      <c r="Q67" s="3" t="s">
        <v>103</v>
      </c>
      <c r="R67" t="str">
        <f t="shared" ref="R67:R124" si="27">TEXT(DATEVALUE(LEFT(Q67,10)), "dd/mm/yyyy")</f>
        <v>15/10/2013</v>
      </c>
      <c r="S67">
        <f t="shared" ref="S67:S130" si="28">YEAR(R67)</f>
        <v>2013</v>
      </c>
      <c r="T67">
        <f t="shared" ref="T67:T130" si="29">MONTH(R67)</f>
        <v>10</v>
      </c>
      <c r="U67" t="str">
        <f t="shared" ref="U67:U130" si="30">TEXT(T67, "00")</f>
        <v>10</v>
      </c>
      <c r="V67">
        <f t="shared" ref="V67:V130" si="31">DAY(R67)</f>
        <v>15</v>
      </c>
      <c r="W67" t="str">
        <f t="shared" ref="W67:W130" si="32">TEXT(V67,"00")</f>
        <v>15</v>
      </c>
      <c r="X67" t="str">
        <f t="shared" ref="X67:X130" si="33">CONCATENATE(
    "https://api.geomagnetism.ga.gov.au/agrf?",
    "latd=", I67,
    "&amp;latm=", J67,
    "&amp;lats=", K67,
    "&amp;lond=", L67,
    "&amp;lonm=", M67,
    "&amp;lons=", N67,
    "&amp;year=", S67,
    "&amp;month=", U67,
    "&amp;day=", W67,
    "&amp;elev=", P67,
    "&amp;Ein=D",
    "&amp;Ein=d"
)</f>
        <v>https://api.geomagnetism.ga.gov.au/agrf?latd=-33&amp;latm=7&amp;lats=45.77&amp;lond=138&amp;lonm=33&amp;lons=33.48&amp;year=2013&amp;month=10&amp;day=15&amp;elev=0.515&amp;Ein=D&amp;Ein=d</v>
      </c>
    </row>
    <row r="68" spans="1:24" ht="17" x14ac:dyDescent="0.25">
      <c r="A68" s="1" t="s">
        <v>78</v>
      </c>
      <c r="B68" s="1">
        <v>-33.171999999999997</v>
      </c>
      <c r="C68" s="1">
        <v>139.65676999999999</v>
      </c>
      <c r="D68" t="s">
        <v>618</v>
      </c>
      <c r="E68" t="s">
        <v>619</v>
      </c>
      <c r="F68" t="str">
        <f t="shared" si="17"/>
        <v>-33° 10' 19.20"</v>
      </c>
      <c r="G68" t="str">
        <f t="shared" si="18"/>
        <v>139° 39' 24.37"</v>
      </c>
      <c r="H68" s="5">
        <f t="shared" si="19"/>
        <v>33</v>
      </c>
      <c r="I68" s="5">
        <f t="shared" si="20"/>
        <v>-33</v>
      </c>
      <c r="J68" s="5">
        <f t="shared" si="21"/>
        <v>10</v>
      </c>
      <c r="K68" s="5">
        <f t="shared" si="22"/>
        <v>19.2</v>
      </c>
      <c r="L68" s="5">
        <f t="shared" si="23"/>
        <v>139</v>
      </c>
      <c r="M68" s="5">
        <f t="shared" si="24"/>
        <v>39</v>
      </c>
      <c r="N68" s="5">
        <f t="shared" si="25"/>
        <v>24.37</v>
      </c>
      <c r="O68" s="1">
        <v>188</v>
      </c>
      <c r="P68">
        <f t="shared" si="26"/>
        <v>0.188</v>
      </c>
      <c r="Q68" s="3" t="s">
        <v>101</v>
      </c>
      <c r="R68" t="str">
        <f t="shared" si="27"/>
        <v>16/10/2013</v>
      </c>
      <c r="S68">
        <f t="shared" si="28"/>
        <v>2013</v>
      </c>
      <c r="T68">
        <f t="shared" si="29"/>
        <v>10</v>
      </c>
      <c r="U68" t="str">
        <f t="shared" si="30"/>
        <v>10</v>
      </c>
      <c r="V68">
        <f t="shared" si="31"/>
        <v>16</v>
      </c>
      <c r="W68" t="str">
        <f t="shared" si="32"/>
        <v>16</v>
      </c>
      <c r="X68" t="str">
        <f t="shared" si="33"/>
        <v>https://api.geomagnetism.ga.gov.au/agrf?latd=-33&amp;latm=10&amp;lats=19.2&amp;lond=139&amp;lonm=39&amp;lons=24.37&amp;year=2013&amp;month=10&amp;day=16&amp;elev=0.188&amp;Ein=D&amp;Ein=d</v>
      </c>
    </row>
    <row r="69" spans="1:24" ht="17" x14ac:dyDescent="0.25">
      <c r="A69" s="1" t="s">
        <v>79</v>
      </c>
      <c r="B69" s="1">
        <v>-33.164000000000001</v>
      </c>
      <c r="C69" s="1">
        <v>140.11922000000001</v>
      </c>
      <c r="D69" t="s">
        <v>620</v>
      </c>
      <c r="E69" t="s">
        <v>621</v>
      </c>
      <c r="F69" t="str">
        <f t="shared" si="17"/>
        <v>-33° 9' 50.40"</v>
      </c>
      <c r="G69" t="str">
        <f t="shared" si="18"/>
        <v>140° 7' 9.19"</v>
      </c>
      <c r="H69" s="5">
        <f t="shared" si="19"/>
        <v>33</v>
      </c>
      <c r="I69" s="5">
        <f t="shared" si="20"/>
        <v>-33</v>
      </c>
      <c r="J69" s="5">
        <f t="shared" si="21"/>
        <v>9</v>
      </c>
      <c r="K69" s="5">
        <f t="shared" si="22"/>
        <v>50.4</v>
      </c>
      <c r="L69" s="5">
        <f t="shared" si="23"/>
        <v>140</v>
      </c>
      <c r="M69" s="5">
        <f t="shared" si="24"/>
        <v>7</v>
      </c>
      <c r="N69" s="5">
        <f t="shared" si="25"/>
        <v>9.19</v>
      </c>
      <c r="O69" s="1">
        <v>122</v>
      </c>
      <c r="P69">
        <f t="shared" si="26"/>
        <v>0.122</v>
      </c>
      <c r="Q69" s="3" t="s">
        <v>104</v>
      </c>
      <c r="R69" t="str">
        <f t="shared" si="27"/>
        <v>17/10/2013</v>
      </c>
      <c r="S69">
        <f t="shared" si="28"/>
        <v>2013</v>
      </c>
      <c r="T69">
        <f t="shared" si="29"/>
        <v>10</v>
      </c>
      <c r="U69" t="str">
        <f t="shared" si="30"/>
        <v>10</v>
      </c>
      <c r="V69">
        <f t="shared" si="31"/>
        <v>17</v>
      </c>
      <c r="W69" t="str">
        <f t="shared" si="32"/>
        <v>17</v>
      </c>
      <c r="X69" t="str">
        <f t="shared" si="33"/>
        <v>https://api.geomagnetism.ga.gov.au/agrf?latd=-33&amp;latm=9&amp;lats=50.4&amp;lond=140&amp;lonm=7&amp;lons=9.19&amp;year=2013&amp;month=10&amp;day=17&amp;elev=0.122&amp;Ein=D&amp;Ein=d</v>
      </c>
    </row>
    <row r="70" spans="1:24" ht="17" x14ac:dyDescent="0.25">
      <c r="A70" s="1" t="s">
        <v>80</v>
      </c>
      <c r="B70" s="1">
        <v>-33.42839</v>
      </c>
      <c r="C70" s="1">
        <v>138.91949</v>
      </c>
      <c r="D70" t="s">
        <v>622</v>
      </c>
      <c r="E70" t="s">
        <v>623</v>
      </c>
      <c r="F70" t="str">
        <f t="shared" si="17"/>
        <v>-33° 25' 42.20"</v>
      </c>
      <c r="G70" t="str">
        <f t="shared" si="18"/>
        <v>138° 55' 10.16"</v>
      </c>
      <c r="H70" s="5">
        <f t="shared" si="19"/>
        <v>33</v>
      </c>
      <c r="I70" s="5">
        <f t="shared" si="20"/>
        <v>-33</v>
      </c>
      <c r="J70" s="5">
        <f t="shared" si="21"/>
        <v>25</v>
      </c>
      <c r="K70" s="5">
        <f t="shared" si="22"/>
        <v>42.2</v>
      </c>
      <c r="L70" s="5">
        <f t="shared" si="23"/>
        <v>138</v>
      </c>
      <c r="M70" s="5">
        <f t="shared" si="24"/>
        <v>55</v>
      </c>
      <c r="N70" s="5">
        <f t="shared" si="25"/>
        <v>10.16</v>
      </c>
      <c r="O70" s="1">
        <v>670</v>
      </c>
      <c r="P70">
        <f t="shared" si="26"/>
        <v>0.67</v>
      </c>
      <c r="Q70" s="3" t="s">
        <v>103</v>
      </c>
      <c r="R70" t="str">
        <f t="shared" si="27"/>
        <v>15/10/2013</v>
      </c>
      <c r="S70">
        <f t="shared" si="28"/>
        <v>2013</v>
      </c>
      <c r="T70">
        <f t="shared" si="29"/>
        <v>10</v>
      </c>
      <c r="U70" t="str">
        <f t="shared" si="30"/>
        <v>10</v>
      </c>
      <c r="V70">
        <f t="shared" si="31"/>
        <v>15</v>
      </c>
      <c r="W70" t="str">
        <f t="shared" si="32"/>
        <v>15</v>
      </c>
      <c r="X70" t="str">
        <f t="shared" si="33"/>
        <v>https://api.geomagnetism.ga.gov.au/agrf?latd=-33&amp;latm=25&amp;lats=42.2&amp;lond=138&amp;lonm=55&amp;lons=10.16&amp;year=2013&amp;month=10&amp;day=15&amp;elev=0.67&amp;Ein=D&amp;Ein=d</v>
      </c>
    </row>
    <row r="71" spans="1:24" ht="17" x14ac:dyDescent="0.25">
      <c r="A71" s="1" t="s">
        <v>81</v>
      </c>
      <c r="B71" s="1">
        <v>-33.761339999999997</v>
      </c>
      <c r="C71" s="1">
        <v>138.93672000000001</v>
      </c>
      <c r="D71" t="s">
        <v>624</v>
      </c>
      <c r="E71" t="s">
        <v>625</v>
      </c>
      <c r="F71" t="str">
        <f t="shared" si="17"/>
        <v>-33° 45' 40.82"</v>
      </c>
      <c r="G71" t="str">
        <f t="shared" si="18"/>
        <v>138° 56' 12.19"</v>
      </c>
      <c r="H71" s="5">
        <f t="shared" si="19"/>
        <v>33</v>
      </c>
      <c r="I71" s="5">
        <f t="shared" si="20"/>
        <v>-33</v>
      </c>
      <c r="J71" s="5">
        <f t="shared" si="21"/>
        <v>45</v>
      </c>
      <c r="K71" s="5">
        <f t="shared" si="22"/>
        <v>40.82</v>
      </c>
      <c r="L71" s="5">
        <f t="shared" si="23"/>
        <v>138</v>
      </c>
      <c r="M71" s="5">
        <f t="shared" si="24"/>
        <v>56</v>
      </c>
      <c r="N71" s="5">
        <f t="shared" si="25"/>
        <v>12.19</v>
      </c>
      <c r="O71" s="1">
        <v>520</v>
      </c>
      <c r="P71">
        <f t="shared" si="26"/>
        <v>0.52</v>
      </c>
      <c r="Q71" s="3" t="s">
        <v>101</v>
      </c>
      <c r="R71" t="str">
        <f t="shared" si="27"/>
        <v>16/10/2013</v>
      </c>
      <c r="S71">
        <f t="shared" si="28"/>
        <v>2013</v>
      </c>
      <c r="T71">
        <f t="shared" si="29"/>
        <v>10</v>
      </c>
      <c r="U71" t="str">
        <f t="shared" si="30"/>
        <v>10</v>
      </c>
      <c r="V71">
        <f t="shared" si="31"/>
        <v>16</v>
      </c>
      <c r="W71" t="str">
        <f t="shared" si="32"/>
        <v>16</v>
      </c>
      <c r="X71" t="str">
        <f t="shared" si="33"/>
        <v>https://api.geomagnetism.ga.gov.au/agrf?latd=-33&amp;latm=45&amp;lats=40.82&amp;lond=138&amp;lonm=56&amp;lons=12.19&amp;year=2013&amp;month=10&amp;day=16&amp;elev=0.52&amp;Ein=D&amp;Ein=d</v>
      </c>
    </row>
    <row r="72" spans="1:24" ht="17" x14ac:dyDescent="0.25">
      <c r="A72" s="1" t="s">
        <v>82</v>
      </c>
      <c r="B72" s="1">
        <v>-33.800420000000003</v>
      </c>
      <c r="C72" s="1">
        <v>139.74045000000001</v>
      </c>
      <c r="D72" t="s">
        <v>626</v>
      </c>
      <c r="E72" t="s">
        <v>627</v>
      </c>
      <c r="F72" t="str">
        <f t="shared" si="17"/>
        <v>-33° 48' 1.51"</v>
      </c>
      <c r="G72" t="str">
        <f t="shared" si="18"/>
        <v>139° 44' 25.62"</v>
      </c>
      <c r="H72" s="5">
        <f t="shared" si="19"/>
        <v>33</v>
      </c>
      <c r="I72" s="5">
        <f t="shared" si="20"/>
        <v>-33</v>
      </c>
      <c r="J72" s="5">
        <f t="shared" si="21"/>
        <v>48</v>
      </c>
      <c r="K72" s="5">
        <f t="shared" si="22"/>
        <v>1.51</v>
      </c>
      <c r="L72" s="5">
        <f t="shared" si="23"/>
        <v>139</v>
      </c>
      <c r="M72" s="5">
        <f t="shared" si="24"/>
        <v>44</v>
      </c>
      <c r="N72" s="5">
        <f t="shared" si="25"/>
        <v>25.62</v>
      </c>
      <c r="O72" s="1">
        <v>55</v>
      </c>
      <c r="P72">
        <f t="shared" si="26"/>
        <v>5.5E-2</v>
      </c>
      <c r="Q72" s="3" t="s">
        <v>101</v>
      </c>
      <c r="R72" t="str">
        <f t="shared" si="27"/>
        <v>16/10/2013</v>
      </c>
      <c r="S72">
        <f t="shared" si="28"/>
        <v>2013</v>
      </c>
      <c r="T72">
        <f t="shared" si="29"/>
        <v>10</v>
      </c>
      <c r="U72" t="str">
        <f t="shared" si="30"/>
        <v>10</v>
      </c>
      <c r="V72">
        <f t="shared" si="31"/>
        <v>16</v>
      </c>
      <c r="W72" t="str">
        <f t="shared" si="32"/>
        <v>16</v>
      </c>
      <c r="X72" t="str">
        <f t="shared" si="33"/>
        <v>https://api.geomagnetism.ga.gov.au/agrf?latd=-33&amp;latm=48&amp;lats=1.51&amp;lond=139&amp;lonm=44&amp;lons=25.62&amp;year=2013&amp;month=10&amp;day=16&amp;elev=0.055&amp;Ein=D&amp;Ein=d</v>
      </c>
    </row>
    <row r="73" spans="1:24" ht="17" x14ac:dyDescent="0.25">
      <c r="A73" s="1" t="s">
        <v>83</v>
      </c>
      <c r="B73" s="1">
        <v>-33.181139999999999</v>
      </c>
      <c r="C73" s="1">
        <v>138.14301</v>
      </c>
      <c r="D73" t="s">
        <v>628</v>
      </c>
      <c r="E73" t="s">
        <v>629</v>
      </c>
      <c r="F73" t="str">
        <f t="shared" si="17"/>
        <v>-33° 10' 52.10"</v>
      </c>
      <c r="G73" t="str">
        <f t="shared" si="18"/>
        <v>138° 8' 34.84"</v>
      </c>
      <c r="H73" s="5">
        <f t="shared" si="19"/>
        <v>33</v>
      </c>
      <c r="I73" s="5">
        <f t="shared" si="20"/>
        <v>-33</v>
      </c>
      <c r="J73" s="5">
        <f t="shared" si="21"/>
        <v>10</v>
      </c>
      <c r="K73" s="5">
        <f t="shared" si="22"/>
        <v>52.1</v>
      </c>
      <c r="L73" s="5">
        <f t="shared" si="23"/>
        <v>138</v>
      </c>
      <c r="M73" s="5">
        <f t="shared" si="24"/>
        <v>8</v>
      </c>
      <c r="N73" s="5">
        <f t="shared" si="25"/>
        <v>34.840000000000003</v>
      </c>
      <c r="O73" s="1">
        <v>153</v>
      </c>
      <c r="P73">
        <f t="shared" si="26"/>
        <v>0.153</v>
      </c>
      <c r="Q73" s="3" t="s">
        <v>98</v>
      </c>
      <c r="R73" t="str">
        <f t="shared" si="27"/>
        <v>14/10/2013</v>
      </c>
      <c r="S73">
        <f t="shared" si="28"/>
        <v>2013</v>
      </c>
      <c r="T73">
        <f t="shared" si="29"/>
        <v>10</v>
      </c>
      <c r="U73" t="str">
        <f t="shared" si="30"/>
        <v>10</v>
      </c>
      <c r="V73">
        <f t="shared" si="31"/>
        <v>14</v>
      </c>
      <c r="W73" t="str">
        <f t="shared" si="32"/>
        <v>14</v>
      </c>
      <c r="X73" t="str">
        <f t="shared" si="33"/>
        <v>https://api.geomagnetism.ga.gov.au/agrf?latd=-33&amp;latm=10&amp;lats=52.1&amp;lond=138&amp;lonm=8&amp;lons=34.84&amp;year=2013&amp;month=10&amp;day=14&amp;elev=0.153&amp;Ein=D&amp;Ein=d</v>
      </c>
    </row>
    <row r="74" spans="1:24" ht="17" x14ac:dyDescent="0.25">
      <c r="A74" s="1" t="s">
        <v>107</v>
      </c>
      <c r="B74" s="1">
        <v>-30.550333330000001</v>
      </c>
      <c r="C74" s="1">
        <v>138.43916669999999</v>
      </c>
      <c r="D74" t="s">
        <v>630</v>
      </c>
      <c r="E74" t="s">
        <v>631</v>
      </c>
      <c r="F74" t="str">
        <f t="shared" si="17"/>
        <v>-30° 33' 1.20"</v>
      </c>
      <c r="G74" t="str">
        <f t="shared" si="18"/>
        <v>138° 26' 21.00"</v>
      </c>
      <c r="H74" s="5">
        <f t="shared" si="19"/>
        <v>30</v>
      </c>
      <c r="I74" s="5">
        <f t="shared" si="20"/>
        <v>-30</v>
      </c>
      <c r="J74" s="5">
        <f t="shared" si="21"/>
        <v>33</v>
      </c>
      <c r="K74" s="5">
        <f t="shared" si="22"/>
        <v>1.2</v>
      </c>
      <c r="L74" s="5">
        <f t="shared" si="23"/>
        <v>138</v>
      </c>
      <c r="M74" s="5">
        <f t="shared" si="24"/>
        <v>26</v>
      </c>
      <c r="N74" s="5">
        <f t="shared" si="25"/>
        <v>21</v>
      </c>
      <c r="O74" s="1">
        <v>251</v>
      </c>
      <c r="P74">
        <f t="shared" si="26"/>
        <v>0.251</v>
      </c>
      <c r="Q74" s="3" t="s">
        <v>99</v>
      </c>
      <c r="R74" t="str">
        <f t="shared" si="27"/>
        <v>22/09/2013</v>
      </c>
      <c r="S74">
        <f t="shared" si="28"/>
        <v>2013</v>
      </c>
      <c r="T74">
        <f t="shared" si="29"/>
        <v>9</v>
      </c>
      <c r="U74" t="str">
        <f t="shared" si="30"/>
        <v>09</v>
      </c>
      <c r="V74">
        <f t="shared" si="31"/>
        <v>22</v>
      </c>
      <c r="W74" t="str">
        <f t="shared" si="32"/>
        <v>22</v>
      </c>
      <c r="X74" t="str">
        <f t="shared" si="33"/>
        <v>https://api.geomagnetism.ga.gov.au/agrf?latd=-30&amp;latm=33&amp;lats=1.2&amp;lond=138&amp;lonm=26&amp;lons=21&amp;year=2013&amp;month=09&amp;day=22&amp;elev=0.251&amp;Ein=D&amp;Ein=d</v>
      </c>
    </row>
    <row r="75" spans="1:24" ht="17" x14ac:dyDescent="0.25">
      <c r="A75" s="1" t="s">
        <v>108</v>
      </c>
      <c r="B75" s="1">
        <v>-30.553666669999998</v>
      </c>
      <c r="C75" s="1">
        <v>138.83885000000001</v>
      </c>
      <c r="D75" t="s">
        <v>632</v>
      </c>
      <c r="E75" t="s">
        <v>633</v>
      </c>
      <c r="F75" t="str">
        <f t="shared" si="17"/>
        <v>-30° 33' 13.20"</v>
      </c>
      <c r="G75" t="str">
        <f t="shared" si="18"/>
        <v>138° 50' 19.86"</v>
      </c>
      <c r="H75" s="5">
        <f t="shared" si="19"/>
        <v>30</v>
      </c>
      <c r="I75" s="5">
        <f t="shared" si="20"/>
        <v>-30</v>
      </c>
      <c r="J75" s="5">
        <f t="shared" si="21"/>
        <v>33</v>
      </c>
      <c r="K75" s="5">
        <f t="shared" si="22"/>
        <v>13.2</v>
      </c>
      <c r="L75" s="5">
        <f t="shared" si="23"/>
        <v>138</v>
      </c>
      <c r="M75" s="5">
        <f t="shared" si="24"/>
        <v>50</v>
      </c>
      <c r="N75" s="5">
        <f t="shared" si="25"/>
        <v>19.86</v>
      </c>
      <c r="O75" s="1">
        <v>540</v>
      </c>
      <c r="P75">
        <f t="shared" si="26"/>
        <v>0.54</v>
      </c>
      <c r="Q75" s="3" t="s">
        <v>105</v>
      </c>
      <c r="R75" t="str">
        <f t="shared" si="27"/>
        <v>21/09/2013</v>
      </c>
      <c r="S75">
        <f t="shared" si="28"/>
        <v>2013</v>
      </c>
      <c r="T75">
        <f t="shared" si="29"/>
        <v>9</v>
      </c>
      <c r="U75" t="str">
        <f t="shared" si="30"/>
        <v>09</v>
      </c>
      <c r="V75">
        <f t="shared" si="31"/>
        <v>21</v>
      </c>
      <c r="W75" t="str">
        <f t="shared" si="32"/>
        <v>21</v>
      </c>
      <c r="X75" t="str">
        <f t="shared" si="33"/>
        <v>https://api.geomagnetism.ga.gov.au/agrf?latd=-30&amp;latm=33&amp;lats=13.2&amp;lond=138&amp;lonm=50&amp;lons=19.86&amp;year=2013&amp;month=09&amp;day=21&amp;elev=0.54&amp;Ein=D&amp;Ein=d</v>
      </c>
    </row>
    <row r="76" spans="1:24" ht="17" x14ac:dyDescent="0.25">
      <c r="A76" s="1" t="s">
        <v>109</v>
      </c>
      <c r="B76" s="1">
        <v>-30.68258333</v>
      </c>
      <c r="C76" s="1">
        <v>139.33393330000001</v>
      </c>
      <c r="D76" t="s">
        <v>634</v>
      </c>
      <c r="E76" t="s">
        <v>635</v>
      </c>
      <c r="F76" t="str">
        <f t="shared" si="17"/>
        <v>-30° 40' 57.30"</v>
      </c>
      <c r="G76" t="str">
        <f t="shared" si="18"/>
        <v>139° 20' 2.16"</v>
      </c>
      <c r="H76" s="5">
        <f t="shared" si="19"/>
        <v>30</v>
      </c>
      <c r="I76" s="5">
        <f t="shared" si="20"/>
        <v>-30</v>
      </c>
      <c r="J76" s="5">
        <f t="shared" si="21"/>
        <v>40</v>
      </c>
      <c r="K76" s="5">
        <f t="shared" si="22"/>
        <v>57.3</v>
      </c>
      <c r="L76" s="5">
        <f t="shared" si="23"/>
        <v>139</v>
      </c>
      <c r="M76" s="5">
        <f t="shared" si="24"/>
        <v>20</v>
      </c>
      <c r="N76" s="5">
        <f t="shared" si="25"/>
        <v>2.16</v>
      </c>
      <c r="O76" s="1">
        <v>111</v>
      </c>
      <c r="P76">
        <f t="shared" si="26"/>
        <v>0.111</v>
      </c>
      <c r="Q76" s="3" t="s">
        <v>105</v>
      </c>
      <c r="R76" t="str">
        <f t="shared" si="27"/>
        <v>21/09/2013</v>
      </c>
      <c r="S76">
        <f t="shared" si="28"/>
        <v>2013</v>
      </c>
      <c r="T76">
        <f t="shared" si="29"/>
        <v>9</v>
      </c>
      <c r="U76" t="str">
        <f t="shared" si="30"/>
        <v>09</v>
      </c>
      <c r="V76">
        <f t="shared" si="31"/>
        <v>21</v>
      </c>
      <c r="W76" t="str">
        <f t="shared" si="32"/>
        <v>21</v>
      </c>
      <c r="X76" t="str">
        <f t="shared" si="33"/>
        <v>https://api.geomagnetism.ga.gov.au/agrf?latd=-30&amp;latm=40&amp;lats=57.3&amp;lond=139&amp;lonm=20&amp;lons=2.16&amp;year=2013&amp;month=09&amp;day=21&amp;elev=0.111&amp;Ein=D&amp;Ein=d</v>
      </c>
    </row>
    <row r="77" spans="1:24" ht="17" x14ac:dyDescent="0.25">
      <c r="A77" s="1" t="s">
        <v>110</v>
      </c>
      <c r="B77" s="1">
        <v>-30.887566669999998</v>
      </c>
      <c r="C77" s="1">
        <v>138.38335000000001</v>
      </c>
      <c r="D77" t="s">
        <v>636</v>
      </c>
      <c r="E77" t="s">
        <v>637</v>
      </c>
      <c r="F77" t="str">
        <f t="shared" si="17"/>
        <v>-30° 53' 15.24"</v>
      </c>
      <c r="G77" t="str">
        <f t="shared" si="18"/>
        <v>138° 23' 0.06"</v>
      </c>
      <c r="H77" s="5">
        <f t="shared" si="19"/>
        <v>30</v>
      </c>
      <c r="I77" s="5">
        <f t="shared" si="20"/>
        <v>-30</v>
      </c>
      <c r="J77" s="5">
        <f t="shared" si="21"/>
        <v>53</v>
      </c>
      <c r="K77" s="5">
        <f t="shared" si="22"/>
        <v>15.24</v>
      </c>
      <c r="L77" s="5">
        <f t="shared" si="23"/>
        <v>138</v>
      </c>
      <c r="M77" s="5">
        <f t="shared" si="24"/>
        <v>23</v>
      </c>
      <c r="N77" s="5">
        <f t="shared" si="25"/>
        <v>0.06</v>
      </c>
      <c r="O77" s="1">
        <v>221</v>
      </c>
      <c r="P77">
        <f t="shared" si="26"/>
        <v>0.221</v>
      </c>
      <c r="Q77" s="3" t="s">
        <v>99</v>
      </c>
      <c r="R77" t="str">
        <f t="shared" si="27"/>
        <v>22/09/2013</v>
      </c>
      <c r="S77">
        <f t="shared" si="28"/>
        <v>2013</v>
      </c>
      <c r="T77">
        <f t="shared" si="29"/>
        <v>9</v>
      </c>
      <c r="U77" t="str">
        <f t="shared" si="30"/>
        <v>09</v>
      </c>
      <c r="V77">
        <f t="shared" si="31"/>
        <v>22</v>
      </c>
      <c r="W77" t="str">
        <f t="shared" si="32"/>
        <v>22</v>
      </c>
      <c r="X77" t="str">
        <f t="shared" si="33"/>
        <v>https://api.geomagnetism.ga.gov.au/agrf?latd=-30&amp;latm=53&amp;lats=15.24&amp;lond=138&amp;lonm=23&amp;lons=0.06&amp;year=2013&amp;month=09&amp;day=22&amp;elev=0.221&amp;Ein=D&amp;Ein=d</v>
      </c>
    </row>
    <row r="78" spans="1:24" ht="17" x14ac:dyDescent="0.25">
      <c r="A78" t="s">
        <v>111</v>
      </c>
      <c r="B78" s="1">
        <v>-31.141903840000001</v>
      </c>
      <c r="C78" s="1">
        <v>138.69216359999999</v>
      </c>
      <c r="D78" t="s">
        <v>638</v>
      </c>
      <c r="E78" t="s">
        <v>639</v>
      </c>
      <c r="F78" t="str">
        <f t="shared" si="17"/>
        <v>-31° 8' 30.85"</v>
      </c>
      <c r="G78" t="str">
        <f t="shared" si="18"/>
        <v>138° 41' 31.79"</v>
      </c>
      <c r="H78" s="5">
        <f t="shared" si="19"/>
        <v>31</v>
      </c>
      <c r="I78" s="5">
        <f t="shared" si="20"/>
        <v>-31</v>
      </c>
      <c r="J78" s="5">
        <f t="shared" si="21"/>
        <v>8</v>
      </c>
      <c r="K78" s="5">
        <f t="shared" si="22"/>
        <v>30.85</v>
      </c>
      <c r="L78" s="5">
        <f t="shared" si="23"/>
        <v>138</v>
      </c>
      <c r="M78" s="5">
        <f t="shared" si="24"/>
        <v>41</v>
      </c>
      <c r="N78" s="5">
        <f t="shared" si="25"/>
        <v>31.79</v>
      </c>
      <c r="O78" s="1">
        <v>574</v>
      </c>
      <c r="P78">
        <f t="shared" si="26"/>
        <v>0.57399999999999995</v>
      </c>
      <c r="Q78" s="3" t="s">
        <v>105</v>
      </c>
      <c r="R78" t="str">
        <f t="shared" si="27"/>
        <v>21/09/2013</v>
      </c>
      <c r="S78">
        <f t="shared" si="28"/>
        <v>2013</v>
      </c>
      <c r="T78">
        <f t="shared" si="29"/>
        <v>9</v>
      </c>
      <c r="U78" t="str">
        <f t="shared" si="30"/>
        <v>09</v>
      </c>
      <c r="V78">
        <f t="shared" si="31"/>
        <v>21</v>
      </c>
      <c r="W78" t="str">
        <f t="shared" si="32"/>
        <v>21</v>
      </c>
      <c r="X78" t="str">
        <f t="shared" si="33"/>
        <v>https://api.geomagnetism.ga.gov.au/agrf?latd=-31&amp;latm=8&amp;lats=30.85&amp;lond=138&amp;lonm=41&amp;lons=31.79&amp;year=2013&amp;month=09&amp;day=21&amp;elev=0.574&amp;Ein=D&amp;Ein=d</v>
      </c>
    </row>
    <row r="79" spans="1:24" ht="17" x14ac:dyDescent="0.25">
      <c r="A79" s="1" t="s">
        <v>112</v>
      </c>
      <c r="B79" s="1">
        <v>-31.194009999999999</v>
      </c>
      <c r="C79" s="1">
        <v>139.38436999999999</v>
      </c>
      <c r="D79" t="s">
        <v>640</v>
      </c>
      <c r="E79" t="s">
        <v>641</v>
      </c>
      <c r="F79" t="str">
        <f t="shared" si="17"/>
        <v>-31° 11' 38.44"</v>
      </c>
      <c r="G79" t="str">
        <f t="shared" si="18"/>
        <v>139° 23' 3.73"</v>
      </c>
      <c r="H79" s="5">
        <f t="shared" si="19"/>
        <v>31</v>
      </c>
      <c r="I79" s="5">
        <f t="shared" si="20"/>
        <v>-31</v>
      </c>
      <c r="J79" s="5">
        <f t="shared" si="21"/>
        <v>11</v>
      </c>
      <c r="K79" s="5">
        <f t="shared" si="22"/>
        <v>38.44</v>
      </c>
      <c r="L79" s="5">
        <f t="shared" si="23"/>
        <v>139</v>
      </c>
      <c r="M79" s="5">
        <f t="shared" si="24"/>
        <v>23</v>
      </c>
      <c r="N79" s="5">
        <f t="shared" si="25"/>
        <v>3.73</v>
      </c>
      <c r="O79" s="1">
        <v>63</v>
      </c>
      <c r="P79">
        <f t="shared" si="26"/>
        <v>6.3E-2</v>
      </c>
      <c r="Q79" s="3" t="s">
        <v>105</v>
      </c>
      <c r="R79" t="str">
        <f t="shared" si="27"/>
        <v>21/09/2013</v>
      </c>
      <c r="S79">
        <f t="shared" si="28"/>
        <v>2013</v>
      </c>
      <c r="T79">
        <f t="shared" si="29"/>
        <v>9</v>
      </c>
      <c r="U79" t="str">
        <f t="shared" si="30"/>
        <v>09</v>
      </c>
      <c r="V79">
        <f t="shared" si="31"/>
        <v>21</v>
      </c>
      <c r="W79" t="str">
        <f t="shared" si="32"/>
        <v>21</v>
      </c>
      <c r="X79" t="str">
        <f t="shared" si="33"/>
        <v>https://api.geomagnetism.ga.gov.au/agrf?latd=-31&amp;latm=11&amp;lats=38.44&amp;lond=139&amp;lonm=23&amp;lons=3.73&amp;year=2013&amp;month=09&amp;day=21&amp;elev=0.063&amp;Ein=D&amp;Ein=d</v>
      </c>
    </row>
    <row r="80" spans="1:24" ht="17" x14ac:dyDescent="0.25">
      <c r="A80" s="1" t="s">
        <v>113</v>
      </c>
      <c r="B80" s="1">
        <v>-31.428866670000001</v>
      </c>
      <c r="C80" s="1">
        <v>139.79936670000001</v>
      </c>
      <c r="D80" t="s">
        <v>642</v>
      </c>
      <c r="E80" t="s">
        <v>643</v>
      </c>
      <c r="F80" t="str">
        <f t="shared" si="17"/>
        <v>-31° 25' 43.92"</v>
      </c>
      <c r="G80" t="str">
        <f t="shared" si="18"/>
        <v>139° 47' 57.72"</v>
      </c>
      <c r="H80" s="5">
        <f t="shared" si="19"/>
        <v>31</v>
      </c>
      <c r="I80" s="5">
        <f t="shared" si="20"/>
        <v>-31</v>
      </c>
      <c r="J80" s="5">
        <f t="shared" si="21"/>
        <v>25</v>
      </c>
      <c r="K80" s="5">
        <f t="shared" si="22"/>
        <v>43.92</v>
      </c>
      <c r="L80" s="5">
        <f t="shared" si="23"/>
        <v>139</v>
      </c>
      <c r="M80" s="5">
        <f t="shared" si="24"/>
        <v>47</v>
      </c>
      <c r="N80" s="5">
        <f t="shared" si="25"/>
        <v>57.72</v>
      </c>
      <c r="O80" s="1">
        <v>71</v>
      </c>
      <c r="P80">
        <f t="shared" si="26"/>
        <v>7.0999999999999994E-2</v>
      </c>
      <c r="Q80" s="3" t="s">
        <v>105</v>
      </c>
      <c r="R80" t="str">
        <f t="shared" si="27"/>
        <v>21/09/2013</v>
      </c>
      <c r="S80">
        <f t="shared" si="28"/>
        <v>2013</v>
      </c>
      <c r="T80">
        <f t="shared" si="29"/>
        <v>9</v>
      </c>
      <c r="U80" t="str">
        <f t="shared" si="30"/>
        <v>09</v>
      </c>
      <c r="V80">
        <f t="shared" si="31"/>
        <v>21</v>
      </c>
      <c r="W80" t="str">
        <f t="shared" si="32"/>
        <v>21</v>
      </c>
      <c r="X80" t="str">
        <f t="shared" si="33"/>
        <v>https://api.geomagnetism.ga.gov.au/agrf?latd=-31&amp;latm=25&amp;lats=43.92&amp;lond=139&amp;lonm=47&amp;lons=57.72&amp;year=2013&amp;month=09&amp;day=21&amp;elev=0.071&amp;Ein=D&amp;Ein=d</v>
      </c>
    </row>
    <row r="81" spans="1:24" ht="17" x14ac:dyDescent="0.25">
      <c r="A81" s="1" t="s">
        <v>114</v>
      </c>
      <c r="B81" s="1">
        <v>-31.75898333</v>
      </c>
      <c r="C81" s="1">
        <v>138.32186669999999</v>
      </c>
      <c r="D81" t="s">
        <v>644</v>
      </c>
      <c r="E81" t="s">
        <v>645</v>
      </c>
      <c r="F81" t="str">
        <f t="shared" si="17"/>
        <v>-31° 45' 32.34"</v>
      </c>
      <c r="G81" t="str">
        <f t="shared" si="18"/>
        <v>138° 19' 18.72"</v>
      </c>
      <c r="H81" s="5">
        <f t="shared" si="19"/>
        <v>31</v>
      </c>
      <c r="I81" s="5">
        <f t="shared" si="20"/>
        <v>-31</v>
      </c>
      <c r="J81" s="5">
        <f t="shared" si="21"/>
        <v>45</v>
      </c>
      <c r="K81" s="5">
        <f t="shared" si="22"/>
        <v>32.340000000000003</v>
      </c>
      <c r="L81" s="5">
        <f t="shared" si="23"/>
        <v>138</v>
      </c>
      <c r="M81" s="5">
        <f t="shared" si="24"/>
        <v>19</v>
      </c>
      <c r="N81" s="5">
        <f t="shared" si="25"/>
        <v>18.72</v>
      </c>
      <c r="O81" s="1">
        <v>199</v>
      </c>
      <c r="P81">
        <f t="shared" si="26"/>
        <v>0.19900000000000001</v>
      </c>
      <c r="Q81" s="3" t="s">
        <v>99</v>
      </c>
      <c r="R81" t="str">
        <f t="shared" si="27"/>
        <v>22/09/2013</v>
      </c>
      <c r="S81">
        <f t="shared" si="28"/>
        <v>2013</v>
      </c>
      <c r="T81">
        <f t="shared" si="29"/>
        <v>9</v>
      </c>
      <c r="U81" t="str">
        <f t="shared" si="30"/>
        <v>09</v>
      </c>
      <c r="V81">
        <f t="shared" si="31"/>
        <v>22</v>
      </c>
      <c r="W81" t="str">
        <f t="shared" si="32"/>
        <v>22</v>
      </c>
      <c r="X81" t="str">
        <f t="shared" si="33"/>
        <v>https://api.geomagnetism.ga.gov.au/agrf?latd=-31&amp;latm=45&amp;lats=32.34&amp;lond=138&amp;lonm=19&amp;lons=18.72&amp;year=2013&amp;month=09&amp;day=22&amp;elev=0.199&amp;Ein=D&amp;Ein=d</v>
      </c>
    </row>
    <row r="82" spans="1:24" ht="17" x14ac:dyDescent="0.25">
      <c r="A82" s="1" t="s">
        <v>115</v>
      </c>
      <c r="B82" s="1">
        <v>-31.752130000000001</v>
      </c>
      <c r="C82" s="1">
        <v>139.3862</v>
      </c>
      <c r="D82" t="s">
        <v>646</v>
      </c>
      <c r="E82" t="s">
        <v>647</v>
      </c>
      <c r="F82" t="str">
        <f t="shared" si="17"/>
        <v>-31° 45' 7.67"</v>
      </c>
      <c r="G82" t="str">
        <f t="shared" si="18"/>
        <v>139° 23' 10.32"</v>
      </c>
      <c r="H82" s="5">
        <f t="shared" si="19"/>
        <v>31</v>
      </c>
      <c r="I82" s="5">
        <f t="shared" si="20"/>
        <v>-31</v>
      </c>
      <c r="J82" s="5">
        <f t="shared" si="21"/>
        <v>45</v>
      </c>
      <c r="K82" s="5">
        <f t="shared" si="22"/>
        <v>7.67</v>
      </c>
      <c r="L82" s="5">
        <f t="shared" si="23"/>
        <v>139</v>
      </c>
      <c r="M82" s="5">
        <f t="shared" si="24"/>
        <v>23</v>
      </c>
      <c r="N82" s="5">
        <f t="shared" si="25"/>
        <v>10.32</v>
      </c>
      <c r="O82" s="1">
        <v>113</v>
      </c>
      <c r="P82">
        <f t="shared" si="26"/>
        <v>0.113</v>
      </c>
      <c r="Q82" s="3" t="s">
        <v>105</v>
      </c>
      <c r="R82" t="str">
        <f t="shared" si="27"/>
        <v>21/09/2013</v>
      </c>
      <c r="S82">
        <f t="shared" si="28"/>
        <v>2013</v>
      </c>
      <c r="T82">
        <f t="shared" si="29"/>
        <v>9</v>
      </c>
      <c r="U82" t="str">
        <f t="shared" si="30"/>
        <v>09</v>
      </c>
      <c r="V82">
        <f t="shared" si="31"/>
        <v>21</v>
      </c>
      <c r="W82" t="str">
        <f t="shared" si="32"/>
        <v>21</v>
      </c>
      <c r="X82" t="str">
        <f t="shared" si="33"/>
        <v>https://api.geomagnetism.ga.gov.au/agrf?latd=-31&amp;latm=45&amp;lats=7.67&amp;lond=139&amp;lonm=23&amp;lons=10.32&amp;year=2013&amp;month=09&amp;day=21&amp;elev=0.113&amp;Ein=D&amp;Ein=d</v>
      </c>
    </row>
    <row r="83" spans="1:24" ht="17" x14ac:dyDescent="0.25">
      <c r="A83" s="1" t="s">
        <v>116</v>
      </c>
      <c r="B83" s="1">
        <v>-32.245980000000003</v>
      </c>
      <c r="C83" s="1">
        <v>138.12222</v>
      </c>
      <c r="D83" t="s">
        <v>648</v>
      </c>
      <c r="E83" t="s">
        <v>649</v>
      </c>
      <c r="F83" t="str">
        <f t="shared" si="17"/>
        <v>-32° 14' 45.53"</v>
      </c>
      <c r="G83" t="str">
        <f t="shared" si="18"/>
        <v>138° 7' 19.99"</v>
      </c>
      <c r="H83" s="5">
        <f t="shared" si="19"/>
        <v>32</v>
      </c>
      <c r="I83" s="5">
        <f t="shared" si="20"/>
        <v>-32</v>
      </c>
      <c r="J83" s="5">
        <f t="shared" si="21"/>
        <v>14</v>
      </c>
      <c r="K83" s="5">
        <f t="shared" si="22"/>
        <v>45.53</v>
      </c>
      <c r="L83" s="5">
        <f t="shared" si="23"/>
        <v>138</v>
      </c>
      <c r="M83" s="5">
        <f t="shared" si="24"/>
        <v>7</v>
      </c>
      <c r="N83" s="5">
        <f t="shared" si="25"/>
        <v>19.989999999999998</v>
      </c>
      <c r="O83" s="1">
        <v>209</v>
      </c>
      <c r="P83">
        <f t="shared" si="26"/>
        <v>0.20899999999999999</v>
      </c>
      <c r="Q83" s="3" t="s">
        <v>99</v>
      </c>
      <c r="R83" t="str">
        <f t="shared" si="27"/>
        <v>22/09/2013</v>
      </c>
      <c r="S83">
        <f t="shared" si="28"/>
        <v>2013</v>
      </c>
      <c r="T83">
        <f t="shared" si="29"/>
        <v>9</v>
      </c>
      <c r="U83" t="str">
        <f t="shared" si="30"/>
        <v>09</v>
      </c>
      <c r="V83">
        <f t="shared" si="31"/>
        <v>22</v>
      </c>
      <c r="W83" t="str">
        <f t="shared" si="32"/>
        <v>22</v>
      </c>
      <c r="X83" t="str">
        <f t="shared" si="33"/>
        <v>https://api.geomagnetism.ga.gov.au/agrf?latd=-32&amp;latm=14&amp;lats=45.53&amp;lond=138&amp;lonm=7&amp;lons=19.99&amp;year=2013&amp;month=09&amp;day=22&amp;elev=0.209&amp;Ein=D&amp;Ein=d</v>
      </c>
    </row>
    <row r="84" spans="1:24" ht="17" x14ac:dyDescent="0.25">
      <c r="A84" s="1" t="s">
        <v>117</v>
      </c>
      <c r="B84" s="1">
        <v>-32.238399999999999</v>
      </c>
      <c r="C84" s="1">
        <v>138.6226667</v>
      </c>
      <c r="D84" t="s">
        <v>650</v>
      </c>
      <c r="E84" t="s">
        <v>651</v>
      </c>
      <c r="F84" t="str">
        <f t="shared" si="17"/>
        <v>-32° 14' 18.24"</v>
      </c>
      <c r="G84" t="str">
        <f t="shared" si="18"/>
        <v>138° 37' 21.60"</v>
      </c>
      <c r="H84" s="5">
        <f t="shared" si="19"/>
        <v>32</v>
      </c>
      <c r="I84" s="5">
        <f t="shared" si="20"/>
        <v>-32</v>
      </c>
      <c r="J84" s="5">
        <f t="shared" si="21"/>
        <v>14</v>
      </c>
      <c r="K84" s="5">
        <f t="shared" si="22"/>
        <v>18.239999999999998</v>
      </c>
      <c r="L84" s="5">
        <f t="shared" si="23"/>
        <v>138</v>
      </c>
      <c r="M84" s="5">
        <f t="shared" si="24"/>
        <v>37</v>
      </c>
      <c r="N84" s="5">
        <f t="shared" si="25"/>
        <v>21.6</v>
      </c>
      <c r="O84" s="1">
        <v>531</v>
      </c>
      <c r="P84">
        <f t="shared" si="26"/>
        <v>0.53100000000000003</v>
      </c>
      <c r="Q84" s="3" t="s">
        <v>106</v>
      </c>
      <c r="R84" t="str">
        <f t="shared" si="27"/>
        <v>20/09/2013</v>
      </c>
      <c r="S84">
        <f t="shared" si="28"/>
        <v>2013</v>
      </c>
      <c r="T84">
        <f t="shared" si="29"/>
        <v>9</v>
      </c>
      <c r="U84" t="str">
        <f t="shared" si="30"/>
        <v>09</v>
      </c>
      <c r="V84">
        <f t="shared" si="31"/>
        <v>20</v>
      </c>
      <c r="W84" t="str">
        <f t="shared" si="32"/>
        <v>20</v>
      </c>
      <c r="X84" t="str">
        <f t="shared" si="33"/>
        <v>https://api.geomagnetism.ga.gov.au/agrf?latd=-32&amp;latm=14&amp;lats=18.24&amp;lond=138&amp;lonm=37&amp;lons=21.6&amp;year=2013&amp;month=09&amp;day=20&amp;elev=0.531&amp;Ein=D&amp;Ein=d</v>
      </c>
    </row>
    <row r="85" spans="1:24" ht="17" x14ac:dyDescent="0.25">
      <c r="A85" s="1" t="s">
        <v>118</v>
      </c>
      <c r="B85" s="1">
        <v>-32.168050000000001</v>
      </c>
      <c r="C85" s="1">
        <v>139.23497</v>
      </c>
      <c r="D85" t="s">
        <v>652</v>
      </c>
      <c r="E85" t="s">
        <v>653</v>
      </c>
      <c r="F85" t="str">
        <f t="shared" si="17"/>
        <v>-32° 10' 4.98"</v>
      </c>
      <c r="G85" t="str">
        <f t="shared" si="18"/>
        <v>139° 14' 5.89"</v>
      </c>
      <c r="H85" s="5">
        <f t="shared" si="19"/>
        <v>32</v>
      </c>
      <c r="I85" s="5">
        <f t="shared" si="20"/>
        <v>-32</v>
      </c>
      <c r="J85" s="5">
        <f t="shared" si="21"/>
        <v>10</v>
      </c>
      <c r="K85" s="5">
        <f t="shared" si="22"/>
        <v>4.9800000000000004</v>
      </c>
      <c r="L85" s="5">
        <f t="shared" si="23"/>
        <v>139</v>
      </c>
      <c r="M85" s="5">
        <f t="shared" si="24"/>
        <v>14</v>
      </c>
      <c r="N85" s="5">
        <f t="shared" si="25"/>
        <v>5.89</v>
      </c>
      <c r="O85" s="1">
        <v>207</v>
      </c>
      <c r="P85">
        <f t="shared" si="26"/>
        <v>0.20699999999999999</v>
      </c>
      <c r="Q85" s="3" t="s">
        <v>106</v>
      </c>
      <c r="R85" t="str">
        <f t="shared" si="27"/>
        <v>20/09/2013</v>
      </c>
      <c r="S85">
        <f t="shared" si="28"/>
        <v>2013</v>
      </c>
      <c r="T85">
        <f t="shared" si="29"/>
        <v>9</v>
      </c>
      <c r="U85" t="str">
        <f t="shared" si="30"/>
        <v>09</v>
      </c>
      <c r="V85">
        <f t="shared" si="31"/>
        <v>20</v>
      </c>
      <c r="W85" t="str">
        <f t="shared" si="32"/>
        <v>20</v>
      </c>
      <c r="X85" t="str">
        <f t="shared" si="33"/>
        <v>https://api.geomagnetism.ga.gov.au/agrf?latd=-32&amp;latm=10&amp;lats=4.98&amp;lond=139&amp;lonm=14&amp;lons=5.89&amp;year=2013&amp;month=09&amp;day=20&amp;elev=0.207&amp;Ein=D&amp;Ein=d</v>
      </c>
    </row>
    <row r="86" spans="1:24" ht="17" x14ac:dyDescent="0.25">
      <c r="A86" s="1" t="s">
        <v>119</v>
      </c>
      <c r="B86" s="1">
        <v>-32.696635999999998</v>
      </c>
      <c r="C86" s="1">
        <v>137.97531000000001</v>
      </c>
      <c r="D86" t="s">
        <v>654</v>
      </c>
      <c r="E86" t="s">
        <v>655</v>
      </c>
      <c r="F86" t="str">
        <f t="shared" si="17"/>
        <v>-32° 41' 47.89"</v>
      </c>
      <c r="G86" t="str">
        <f t="shared" si="18"/>
        <v>137° 58' 31.12"</v>
      </c>
      <c r="H86" s="5">
        <f t="shared" si="19"/>
        <v>32</v>
      </c>
      <c r="I86" s="5">
        <f t="shared" si="20"/>
        <v>-32</v>
      </c>
      <c r="J86" s="5">
        <f t="shared" si="21"/>
        <v>41</v>
      </c>
      <c r="K86" s="5">
        <f t="shared" si="22"/>
        <v>47.89</v>
      </c>
      <c r="L86" s="5">
        <f t="shared" si="23"/>
        <v>137</v>
      </c>
      <c r="M86" s="5">
        <f t="shared" si="24"/>
        <v>58</v>
      </c>
      <c r="N86" s="5">
        <f t="shared" si="25"/>
        <v>31.12</v>
      </c>
      <c r="O86" s="1">
        <v>142</v>
      </c>
      <c r="P86">
        <f t="shared" si="26"/>
        <v>0.14199999999999999</v>
      </c>
      <c r="Q86" s="3" t="s">
        <v>102</v>
      </c>
      <c r="R86" t="str">
        <f t="shared" si="27"/>
        <v>23/09/2013</v>
      </c>
      <c r="S86">
        <f t="shared" si="28"/>
        <v>2013</v>
      </c>
      <c r="T86">
        <f t="shared" si="29"/>
        <v>9</v>
      </c>
      <c r="U86" t="str">
        <f t="shared" si="30"/>
        <v>09</v>
      </c>
      <c r="V86">
        <f t="shared" si="31"/>
        <v>23</v>
      </c>
      <c r="W86" t="str">
        <f t="shared" si="32"/>
        <v>23</v>
      </c>
      <c r="X86" t="str">
        <f t="shared" si="33"/>
        <v>https://api.geomagnetism.ga.gov.au/agrf?latd=-32&amp;latm=41&amp;lats=47.89&amp;lond=137&amp;lonm=58&amp;lons=31.12&amp;year=2013&amp;month=09&amp;day=23&amp;elev=0.142&amp;Ein=D&amp;Ein=d</v>
      </c>
    </row>
    <row r="87" spans="1:24" ht="17" x14ac:dyDescent="0.25">
      <c r="A87" s="1" t="s">
        <v>120</v>
      </c>
      <c r="B87" s="1">
        <v>-32.74427</v>
      </c>
      <c r="C87" s="1">
        <v>139.26262</v>
      </c>
      <c r="D87" t="s">
        <v>656</v>
      </c>
      <c r="E87" t="s">
        <v>657</v>
      </c>
      <c r="F87" t="str">
        <f t="shared" si="17"/>
        <v>-32° 44' 39.37"</v>
      </c>
      <c r="G87" t="str">
        <f t="shared" si="18"/>
        <v>139° 15' 45.43"</v>
      </c>
      <c r="H87" s="5">
        <f t="shared" si="19"/>
        <v>32</v>
      </c>
      <c r="I87" s="5">
        <f t="shared" si="20"/>
        <v>-32</v>
      </c>
      <c r="J87" s="5">
        <f t="shared" si="21"/>
        <v>44</v>
      </c>
      <c r="K87" s="5">
        <f t="shared" si="22"/>
        <v>39.369999999999997</v>
      </c>
      <c r="L87" s="5">
        <f t="shared" si="23"/>
        <v>139</v>
      </c>
      <c r="M87" s="5">
        <f t="shared" si="24"/>
        <v>15</v>
      </c>
      <c r="N87" s="5">
        <f t="shared" si="25"/>
        <v>45.43</v>
      </c>
      <c r="O87" s="1">
        <v>394</v>
      </c>
      <c r="P87">
        <f t="shared" si="26"/>
        <v>0.39400000000000002</v>
      </c>
      <c r="Q87" s="3" t="s">
        <v>103</v>
      </c>
      <c r="R87" t="str">
        <f t="shared" si="27"/>
        <v>15/10/2013</v>
      </c>
      <c r="S87">
        <f t="shared" si="28"/>
        <v>2013</v>
      </c>
      <c r="T87">
        <f t="shared" si="29"/>
        <v>10</v>
      </c>
      <c r="U87" t="str">
        <f t="shared" si="30"/>
        <v>10</v>
      </c>
      <c r="V87">
        <f t="shared" si="31"/>
        <v>15</v>
      </c>
      <c r="W87" t="str">
        <f t="shared" si="32"/>
        <v>15</v>
      </c>
      <c r="X87" t="str">
        <f t="shared" si="33"/>
        <v>https://api.geomagnetism.ga.gov.au/agrf?latd=-32&amp;latm=44&amp;lats=39.37&amp;lond=139&amp;lonm=15&amp;lons=45.43&amp;year=2013&amp;month=10&amp;day=15&amp;elev=0.394&amp;Ein=D&amp;Ein=d</v>
      </c>
    </row>
    <row r="88" spans="1:24" ht="17" x14ac:dyDescent="0.25">
      <c r="A88" s="1" t="s">
        <v>121</v>
      </c>
      <c r="B88" s="1">
        <v>-29.4785</v>
      </c>
      <c r="C88" s="1">
        <v>138.06052</v>
      </c>
      <c r="D88" t="s">
        <v>658</v>
      </c>
      <c r="E88" t="s">
        <v>659</v>
      </c>
      <c r="F88" t="str">
        <f t="shared" si="17"/>
        <v>-29° 28' 42.60"</v>
      </c>
      <c r="G88" t="str">
        <f t="shared" si="18"/>
        <v>138° 3' 37.87"</v>
      </c>
      <c r="H88" s="5">
        <f t="shared" si="19"/>
        <v>29</v>
      </c>
      <c r="I88" s="5">
        <f t="shared" si="20"/>
        <v>-29</v>
      </c>
      <c r="J88" s="5">
        <f t="shared" si="21"/>
        <v>28</v>
      </c>
      <c r="K88" s="5">
        <f t="shared" si="22"/>
        <v>42.6</v>
      </c>
      <c r="L88" s="5">
        <f t="shared" si="23"/>
        <v>138</v>
      </c>
      <c r="M88" s="5">
        <f t="shared" si="24"/>
        <v>3</v>
      </c>
      <c r="N88" s="5">
        <f t="shared" si="25"/>
        <v>37.869999999999997</v>
      </c>
      <c r="O88" s="1">
        <v>28</v>
      </c>
      <c r="P88">
        <f t="shared" si="26"/>
        <v>2.8000000000000001E-2</v>
      </c>
      <c r="Q88" s="3" t="s">
        <v>164</v>
      </c>
      <c r="R88" t="str">
        <f t="shared" si="27"/>
        <v>11/06/2015</v>
      </c>
      <c r="S88">
        <f t="shared" si="28"/>
        <v>2015</v>
      </c>
      <c r="T88">
        <f t="shared" si="29"/>
        <v>6</v>
      </c>
      <c r="U88" t="str">
        <f t="shared" si="30"/>
        <v>06</v>
      </c>
      <c r="V88">
        <f t="shared" si="31"/>
        <v>11</v>
      </c>
      <c r="W88" t="str">
        <f t="shared" si="32"/>
        <v>11</v>
      </c>
      <c r="X88" t="str">
        <f t="shared" si="33"/>
        <v>https://api.geomagnetism.ga.gov.au/agrf?latd=-29&amp;latm=28&amp;lats=42.6&amp;lond=138&amp;lonm=3&amp;lons=37.87&amp;year=2015&amp;month=06&amp;day=11&amp;elev=0.028&amp;Ein=D&amp;Ein=d</v>
      </c>
    </row>
    <row r="89" spans="1:24" ht="17" x14ac:dyDescent="0.25">
      <c r="A89" s="1" t="s">
        <v>122</v>
      </c>
      <c r="B89" s="1">
        <v>-29.491140000000001</v>
      </c>
      <c r="C89" s="1">
        <v>138.55262999999999</v>
      </c>
      <c r="D89" t="s">
        <v>660</v>
      </c>
      <c r="E89" t="s">
        <v>661</v>
      </c>
      <c r="F89" t="str">
        <f t="shared" si="17"/>
        <v>-29° 29' 28.10"</v>
      </c>
      <c r="G89" t="str">
        <f t="shared" si="18"/>
        <v>138° 33' 9.47"</v>
      </c>
      <c r="H89" s="5">
        <f t="shared" si="19"/>
        <v>29</v>
      </c>
      <c r="I89" s="5">
        <f t="shared" si="20"/>
        <v>-29</v>
      </c>
      <c r="J89" s="5">
        <f t="shared" si="21"/>
        <v>29</v>
      </c>
      <c r="K89" s="5">
        <f t="shared" si="22"/>
        <v>28.1</v>
      </c>
      <c r="L89" s="5">
        <f t="shared" si="23"/>
        <v>138</v>
      </c>
      <c r="M89" s="5">
        <f t="shared" si="24"/>
        <v>33</v>
      </c>
      <c r="N89" s="5">
        <f t="shared" si="25"/>
        <v>9.4700000000000006</v>
      </c>
      <c r="O89" s="1">
        <v>69</v>
      </c>
      <c r="P89">
        <f t="shared" si="26"/>
        <v>6.9000000000000006E-2</v>
      </c>
      <c r="Q89" s="3" t="s">
        <v>165</v>
      </c>
      <c r="R89" t="str">
        <f t="shared" si="27"/>
        <v>12/06/2015</v>
      </c>
      <c r="S89">
        <f t="shared" si="28"/>
        <v>2015</v>
      </c>
      <c r="T89">
        <f t="shared" si="29"/>
        <v>6</v>
      </c>
      <c r="U89" t="str">
        <f t="shared" si="30"/>
        <v>06</v>
      </c>
      <c r="V89">
        <f t="shared" si="31"/>
        <v>12</v>
      </c>
      <c r="W89" t="str">
        <f t="shared" si="32"/>
        <v>12</v>
      </c>
      <c r="X89" t="str">
        <f t="shared" si="33"/>
        <v>https://api.geomagnetism.ga.gov.au/agrf?latd=-29&amp;latm=29&amp;lats=28.1&amp;lond=138&amp;lonm=33&amp;lons=9.47&amp;year=2015&amp;month=06&amp;day=12&amp;elev=0.069&amp;Ein=D&amp;Ein=d</v>
      </c>
    </row>
    <row r="90" spans="1:24" ht="17" x14ac:dyDescent="0.25">
      <c r="A90" s="1" t="s">
        <v>123</v>
      </c>
      <c r="B90" s="1">
        <v>-29.498349999999999</v>
      </c>
      <c r="C90" s="1">
        <v>138.50022000000001</v>
      </c>
      <c r="D90" t="s">
        <v>662</v>
      </c>
      <c r="E90" t="s">
        <v>663</v>
      </c>
      <c r="F90" t="str">
        <f t="shared" si="17"/>
        <v>-29° 29' 54.06"</v>
      </c>
      <c r="G90" t="str">
        <f t="shared" si="18"/>
        <v>138° 30' 0.79"</v>
      </c>
      <c r="H90" s="5">
        <f t="shared" si="19"/>
        <v>29</v>
      </c>
      <c r="I90" s="5">
        <f t="shared" si="20"/>
        <v>-29</v>
      </c>
      <c r="J90" s="5">
        <f t="shared" si="21"/>
        <v>29</v>
      </c>
      <c r="K90" s="5">
        <f t="shared" si="22"/>
        <v>54.06</v>
      </c>
      <c r="L90" s="5">
        <f t="shared" si="23"/>
        <v>138</v>
      </c>
      <c r="M90" s="5">
        <f t="shared" si="24"/>
        <v>30</v>
      </c>
      <c r="N90" s="5">
        <f t="shared" si="25"/>
        <v>0.79</v>
      </c>
      <c r="O90" s="1">
        <v>69</v>
      </c>
      <c r="P90">
        <f t="shared" si="26"/>
        <v>6.9000000000000006E-2</v>
      </c>
      <c r="Q90" s="3" t="s">
        <v>166</v>
      </c>
      <c r="R90" t="str">
        <f t="shared" si="27"/>
        <v>20/03/2017</v>
      </c>
      <c r="S90">
        <f t="shared" si="28"/>
        <v>2017</v>
      </c>
      <c r="T90">
        <f t="shared" si="29"/>
        <v>3</v>
      </c>
      <c r="U90" t="str">
        <f t="shared" si="30"/>
        <v>03</v>
      </c>
      <c r="V90">
        <f t="shared" si="31"/>
        <v>20</v>
      </c>
      <c r="W90" t="str">
        <f t="shared" si="32"/>
        <v>20</v>
      </c>
      <c r="X90" t="str">
        <f t="shared" si="33"/>
        <v>https://api.geomagnetism.ga.gov.au/agrf?latd=-29&amp;latm=29&amp;lats=54.06&amp;lond=138&amp;lonm=30&amp;lons=0.79&amp;year=2017&amp;month=03&amp;day=20&amp;elev=0.069&amp;Ein=D&amp;Ein=d</v>
      </c>
    </row>
    <row r="91" spans="1:24" ht="17" x14ac:dyDescent="0.25">
      <c r="A91" s="1" t="s">
        <v>124</v>
      </c>
      <c r="B91" s="1">
        <v>-29.506430000000002</v>
      </c>
      <c r="C91" s="1">
        <v>139.00688</v>
      </c>
      <c r="D91" t="s">
        <v>664</v>
      </c>
      <c r="E91" t="s">
        <v>665</v>
      </c>
      <c r="F91" t="str">
        <f t="shared" si="17"/>
        <v>-29° 30' 23.15"</v>
      </c>
      <c r="G91" t="str">
        <f t="shared" si="18"/>
        <v>139° 0' 24.77"</v>
      </c>
      <c r="H91" s="5">
        <f t="shared" si="19"/>
        <v>29</v>
      </c>
      <c r="I91" s="5">
        <f t="shared" si="20"/>
        <v>-29</v>
      </c>
      <c r="J91" s="5">
        <f t="shared" si="21"/>
        <v>30</v>
      </c>
      <c r="K91" s="5">
        <f t="shared" si="22"/>
        <v>23.15</v>
      </c>
      <c r="L91" s="5">
        <f t="shared" si="23"/>
        <v>139</v>
      </c>
      <c r="M91" s="5">
        <f t="shared" si="24"/>
        <v>0</v>
      </c>
      <c r="N91" s="5">
        <f t="shared" si="25"/>
        <v>24.77</v>
      </c>
      <c r="O91" s="1">
        <v>85</v>
      </c>
      <c r="P91">
        <f t="shared" si="26"/>
        <v>8.5000000000000006E-2</v>
      </c>
      <c r="Q91" s="3" t="s">
        <v>167</v>
      </c>
      <c r="R91" t="str">
        <f t="shared" si="27"/>
        <v>15/06/2015</v>
      </c>
      <c r="S91">
        <f t="shared" si="28"/>
        <v>2015</v>
      </c>
      <c r="T91">
        <f t="shared" si="29"/>
        <v>6</v>
      </c>
      <c r="U91" t="str">
        <f t="shared" si="30"/>
        <v>06</v>
      </c>
      <c r="V91">
        <f t="shared" si="31"/>
        <v>15</v>
      </c>
      <c r="W91" t="str">
        <f t="shared" si="32"/>
        <v>15</v>
      </c>
      <c r="X91" t="str">
        <f t="shared" si="33"/>
        <v>https://api.geomagnetism.ga.gov.au/agrf?latd=-29&amp;latm=30&amp;lats=23.15&amp;lond=139&amp;lonm=0&amp;lons=24.77&amp;year=2015&amp;month=06&amp;day=15&amp;elev=0.085&amp;Ein=D&amp;Ein=d</v>
      </c>
    </row>
    <row r="92" spans="1:24" ht="17" x14ac:dyDescent="0.25">
      <c r="A92" s="1" t="s">
        <v>125</v>
      </c>
      <c r="B92" s="1">
        <v>-29.499210000000001</v>
      </c>
      <c r="C92" s="1">
        <v>139.50192999999999</v>
      </c>
      <c r="D92" t="s">
        <v>666</v>
      </c>
      <c r="E92" t="s">
        <v>667</v>
      </c>
      <c r="F92" t="str">
        <f t="shared" si="17"/>
        <v>-29° 29' 57.16"</v>
      </c>
      <c r="G92" t="str">
        <f t="shared" si="18"/>
        <v>139° 30' 6.95"</v>
      </c>
      <c r="H92" s="5">
        <f t="shared" si="19"/>
        <v>29</v>
      </c>
      <c r="I92" s="5">
        <f t="shared" si="20"/>
        <v>-29</v>
      </c>
      <c r="J92" s="5">
        <f t="shared" si="21"/>
        <v>29</v>
      </c>
      <c r="K92" s="5">
        <f t="shared" si="22"/>
        <v>57.16</v>
      </c>
      <c r="L92" s="5">
        <f t="shared" si="23"/>
        <v>139</v>
      </c>
      <c r="M92" s="5">
        <f t="shared" si="24"/>
        <v>30</v>
      </c>
      <c r="N92" s="5">
        <f t="shared" si="25"/>
        <v>6.95</v>
      </c>
      <c r="O92" s="1">
        <v>39</v>
      </c>
      <c r="P92">
        <f t="shared" si="26"/>
        <v>3.9E-2</v>
      </c>
      <c r="Q92" s="3" t="s">
        <v>167</v>
      </c>
      <c r="R92" t="str">
        <f t="shared" si="27"/>
        <v>15/06/2015</v>
      </c>
      <c r="S92">
        <f t="shared" si="28"/>
        <v>2015</v>
      </c>
      <c r="T92">
        <f t="shared" si="29"/>
        <v>6</v>
      </c>
      <c r="U92" t="str">
        <f t="shared" si="30"/>
        <v>06</v>
      </c>
      <c r="V92">
        <f t="shared" si="31"/>
        <v>15</v>
      </c>
      <c r="W92" t="str">
        <f t="shared" si="32"/>
        <v>15</v>
      </c>
      <c r="X92" t="str">
        <f t="shared" si="33"/>
        <v>https://api.geomagnetism.ga.gov.au/agrf?latd=-29&amp;latm=29&amp;lats=57.16&amp;lond=139&amp;lonm=30&amp;lons=6.95&amp;year=2015&amp;month=06&amp;day=15&amp;elev=0.039&amp;Ein=D&amp;Ein=d</v>
      </c>
    </row>
    <row r="93" spans="1:24" ht="17" x14ac:dyDescent="0.25">
      <c r="A93" s="1" t="s">
        <v>187</v>
      </c>
      <c r="B93" s="1">
        <v>-29.48254</v>
      </c>
      <c r="C93" s="1">
        <v>139.93756999999999</v>
      </c>
      <c r="D93" t="s">
        <v>668</v>
      </c>
      <c r="E93" t="s">
        <v>669</v>
      </c>
      <c r="F93" t="str">
        <f t="shared" si="17"/>
        <v>-29° 28' 57.14"</v>
      </c>
      <c r="G93" t="str">
        <f t="shared" si="18"/>
        <v>139° 56' 15.25"</v>
      </c>
      <c r="H93" s="5">
        <f t="shared" si="19"/>
        <v>29</v>
      </c>
      <c r="I93" s="5">
        <f t="shared" si="20"/>
        <v>-29</v>
      </c>
      <c r="J93" s="5">
        <f t="shared" si="21"/>
        <v>28</v>
      </c>
      <c r="K93" s="5">
        <f t="shared" si="22"/>
        <v>57.14</v>
      </c>
      <c r="L93" s="5">
        <f t="shared" si="23"/>
        <v>139</v>
      </c>
      <c r="M93" s="5">
        <f t="shared" si="24"/>
        <v>56</v>
      </c>
      <c r="N93" s="5">
        <f t="shared" si="25"/>
        <v>15.25</v>
      </c>
      <c r="O93" s="1">
        <v>17</v>
      </c>
      <c r="P93">
        <f t="shared" si="26"/>
        <v>1.7000000000000001E-2</v>
      </c>
      <c r="Q93" s="3" t="s">
        <v>167</v>
      </c>
      <c r="R93" t="str">
        <f t="shared" si="27"/>
        <v>15/06/2015</v>
      </c>
      <c r="S93">
        <f t="shared" si="28"/>
        <v>2015</v>
      </c>
      <c r="T93">
        <f t="shared" si="29"/>
        <v>6</v>
      </c>
      <c r="U93" t="str">
        <f t="shared" si="30"/>
        <v>06</v>
      </c>
      <c r="V93">
        <f t="shared" si="31"/>
        <v>15</v>
      </c>
      <c r="W93" t="str">
        <f t="shared" si="32"/>
        <v>15</v>
      </c>
      <c r="X93" t="str">
        <f t="shared" si="33"/>
        <v>https://api.geomagnetism.ga.gov.au/agrf?latd=-29&amp;latm=28&amp;lats=57.14&amp;lond=139&amp;lonm=56&amp;lons=15.25&amp;year=2015&amp;month=06&amp;day=15&amp;elev=0.017&amp;Ein=D&amp;Ein=d</v>
      </c>
    </row>
    <row r="94" spans="1:24" ht="17" x14ac:dyDescent="0.25">
      <c r="A94" s="1" t="s">
        <v>126</v>
      </c>
      <c r="B94" s="1">
        <v>-29.486280000000001</v>
      </c>
      <c r="C94" s="1">
        <v>139.93902</v>
      </c>
      <c r="D94" t="s">
        <v>670</v>
      </c>
      <c r="E94" t="s">
        <v>671</v>
      </c>
      <c r="F94" t="str">
        <f t="shared" si="17"/>
        <v>-29° 29' 10.61"</v>
      </c>
      <c r="G94" t="str">
        <f t="shared" si="18"/>
        <v>139° 56' 20.47"</v>
      </c>
      <c r="H94" s="5">
        <f t="shared" si="19"/>
        <v>29</v>
      </c>
      <c r="I94" s="5">
        <f t="shared" si="20"/>
        <v>-29</v>
      </c>
      <c r="J94" s="5">
        <f t="shared" si="21"/>
        <v>29</v>
      </c>
      <c r="K94" s="5">
        <f t="shared" si="22"/>
        <v>10.61</v>
      </c>
      <c r="L94" s="5">
        <f t="shared" si="23"/>
        <v>139</v>
      </c>
      <c r="M94" s="5">
        <f t="shared" si="24"/>
        <v>56</v>
      </c>
      <c r="N94" s="5">
        <f t="shared" si="25"/>
        <v>20.47</v>
      </c>
      <c r="O94" s="1">
        <v>17</v>
      </c>
      <c r="P94">
        <f t="shared" si="26"/>
        <v>1.7000000000000001E-2</v>
      </c>
      <c r="Q94" s="3" t="s">
        <v>168</v>
      </c>
      <c r="R94" t="str">
        <f t="shared" si="27"/>
        <v>30/07/2015</v>
      </c>
      <c r="S94">
        <f t="shared" si="28"/>
        <v>2015</v>
      </c>
      <c r="T94">
        <f t="shared" si="29"/>
        <v>7</v>
      </c>
      <c r="U94" t="str">
        <f t="shared" si="30"/>
        <v>07</v>
      </c>
      <c r="V94">
        <f t="shared" si="31"/>
        <v>30</v>
      </c>
      <c r="W94" t="str">
        <f t="shared" si="32"/>
        <v>30</v>
      </c>
      <c r="X94" t="str">
        <f t="shared" si="33"/>
        <v>https://api.geomagnetism.ga.gov.au/agrf?latd=-29&amp;latm=29&amp;lats=10.61&amp;lond=139&amp;lonm=56&amp;lons=20.47&amp;year=2015&amp;month=07&amp;day=30&amp;elev=0.017&amp;Ein=D&amp;Ein=d</v>
      </c>
    </row>
    <row r="95" spans="1:24" ht="17" x14ac:dyDescent="0.25">
      <c r="A95" s="1" t="s">
        <v>127</v>
      </c>
      <c r="B95" s="1">
        <v>-29.64002</v>
      </c>
      <c r="C95" s="1">
        <v>140.63324</v>
      </c>
      <c r="D95" t="s">
        <v>672</v>
      </c>
      <c r="E95" t="s">
        <v>673</v>
      </c>
      <c r="F95" t="str">
        <f t="shared" si="17"/>
        <v>-29° 38' 24.07"</v>
      </c>
      <c r="G95" t="str">
        <f t="shared" si="18"/>
        <v>140° 37' 59.66"</v>
      </c>
      <c r="H95" s="5">
        <f t="shared" si="19"/>
        <v>29</v>
      </c>
      <c r="I95" s="5">
        <f t="shared" si="20"/>
        <v>-29</v>
      </c>
      <c r="J95" s="5">
        <f t="shared" si="21"/>
        <v>38</v>
      </c>
      <c r="K95" s="5">
        <f t="shared" si="22"/>
        <v>24.07</v>
      </c>
      <c r="L95" s="5">
        <f t="shared" si="23"/>
        <v>140</v>
      </c>
      <c r="M95" s="5">
        <f t="shared" si="24"/>
        <v>37</v>
      </c>
      <c r="N95" s="5">
        <f t="shared" si="25"/>
        <v>59.66</v>
      </c>
      <c r="O95" s="1">
        <v>74</v>
      </c>
      <c r="P95">
        <f t="shared" si="26"/>
        <v>7.3999999999999996E-2</v>
      </c>
      <c r="Q95" s="3" t="s">
        <v>169</v>
      </c>
      <c r="R95" t="str">
        <f t="shared" si="27"/>
        <v>16/06/2015</v>
      </c>
      <c r="S95">
        <f t="shared" si="28"/>
        <v>2015</v>
      </c>
      <c r="T95">
        <f t="shared" si="29"/>
        <v>6</v>
      </c>
      <c r="U95" t="str">
        <f t="shared" si="30"/>
        <v>06</v>
      </c>
      <c r="V95">
        <f t="shared" si="31"/>
        <v>16</v>
      </c>
      <c r="W95" t="str">
        <f t="shared" si="32"/>
        <v>16</v>
      </c>
      <c r="X95" t="str">
        <f t="shared" si="33"/>
        <v>https://api.geomagnetism.ga.gov.au/agrf?latd=-29&amp;latm=38&amp;lats=24.07&amp;lond=140&amp;lonm=37&amp;lons=59.66&amp;year=2015&amp;month=06&amp;day=16&amp;elev=0.074&amp;Ein=D&amp;Ein=d</v>
      </c>
    </row>
    <row r="96" spans="1:24" ht="17" x14ac:dyDescent="0.25">
      <c r="A96" s="1" t="s">
        <v>128</v>
      </c>
      <c r="B96" s="1">
        <v>-29.498439999999999</v>
      </c>
      <c r="C96" s="1">
        <v>140.99850000000001</v>
      </c>
      <c r="D96" t="s">
        <v>674</v>
      </c>
      <c r="E96" t="s">
        <v>675</v>
      </c>
      <c r="F96" t="str">
        <f t="shared" si="17"/>
        <v>-29° 29' 54.38"</v>
      </c>
      <c r="G96" t="str">
        <f t="shared" si="18"/>
        <v>140° 59' 54.60"</v>
      </c>
      <c r="H96" s="5">
        <f t="shared" si="19"/>
        <v>29</v>
      </c>
      <c r="I96" s="5">
        <f t="shared" si="20"/>
        <v>-29</v>
      </c>
      <c r="J96" s="5">
        <f t="shared" si="21"/>
        <v>29</v>
      </c>
      <c r="K96" s="5">
        <f t="shared" si="22"/>
        <v>54.38</v>
      </c>
      <c r="L96" s="5">
        <f t="shared" si="23"/>
        <v>140</v>
      </c>
      <c r="M96" s="5">
        <f t="shared" si="24"/>
        <v>59</v>
      </c>
      <c r="N96" s="5">
        <f t="shared" si="25"/>
        <v>54.6</v>
      </c>
      <c r="O96" s="1">
        <v>109</v>
      </c>
      <c r="P96">
        <f t="shared" si="26"/>
        <v>0.109</v>
      </c>
      <c r="Q96" s="3" t="s">
        <v>169</v>
      </c>
      <c r="R96" t="str">
        <f t="shared" si="27"/>
        <v>16/06/2015</v>
      </c>
      <c r="S96">
        <f t="shared" si="28"/>
        <v>2015</v>
      </c>
      <c r="T96">
        <f t="shared" si="29"/>
        <v>6</v>
      </c>
      <c r="U96" t="str">
        <f t="shared" si="30"/>
        <v>06</v>
      </c>
      <c r="V96">
        <f t="shared" si="31"/>
        <v>16</v>
      </c>
      <c r="W96" t="str">
        <f t="shared" si="32"/>
        <v>16</v>
      </c>
      <c r="X96" t="str">
        <f t="shared" si="33"/>
        <v>https://api.geomagnetism.ga.gov.au/agrf?latd=-29&amp;latm=29&amp;lats=54.38&amp;lond=140&amp;lonm=59&amp;lons=54.6&amp;year=2015&amp;month=06&amp;day=16&amp;elev=0.109&amp;Ein=D&amp;Ein=d</v>
      </c>
    </row>
    <row r="97" spans="1:24" ht="17" x14ac:dyDescent="0.25">
      <c r="A97" s="1" t="s">
        <v>129</v>
      </c>
      <c r="B97" s="1">
        <v>-29.51624</v>
      </c>
      <c r="C97" s="1">
        <v>141.50063</v>
      </c>
      <c r="D97" t="s">
        <v>676</v>
      </c>
      <c r="E97" t="s">
        <v>677</v>
      </c>
      <c r="F97" t="str">
        <f t="shared" si="17"/>
        <v>-29° 30' 58.46"</v>
      </c>
      <c r="G97" t="str">
        <f t="shared" si="18"/>
        <v>141° 30' 2.27"</v>
      </c>
      <c r="H97" s="5">
        <f t="shared" si="19"/>
        <v>29</v>
      </c>
      <c r="I97" s="5">
        <f t="shared" si="20"/>
        <v>-29</v>
      </c>
      <c r="J97" s="5">
        <f t="shared" si="21"/>
        <v>30</v>
      </c>
      <c r="K97" s="5">
        <f t="shared" si="22"/>
        <v>58.46</v>
      </c>
      <c r="L97" s="5">
        <f t="shared" si="23"/>
        <v>141</v>
      </c>
      <c r="M97" s="5">
        <f t="shared" si="24"/>
        <v>30</v>
      </c>
      <c r="N97" s="5">
        <f t="shared" si="25"/>
        <v>2.27</v>
      </c>
      <c r="O97" s="1">
        <v>184</v>
      </c>
      <c r="P97">
        <f t="shared" si="26"/>
        <v>0.184</v>
      </c>
      <c r="Q97" s="3" t="s">
        <v>170</v>
      </c>
      <c r="R97" t="str">
        <f t="shared" si="27"/>
        <v>06/07/2015</v>
      </c>
      <c r="S97">
        <f t="shared" si="28"/>
        <v>2015</v>
      </c>
      <c r="T97">
        <f t="shared" si="29"/>
        <v>7</v>
      </c>
      <c r="U97" t="str">
        <f t="shared" si="30"/>
        <v>07</v>
      </c>
      <c r="V97">
        <f t="shared" si="31"/>
        <v>6</v>
      </c>
      <c r="W97" t="str">
        <f t="shared" si="32"/>
        <v>06</v>
      </c>
      <c r="X97" t="str">
        <f t="shared" si="33"/>
        <v>https://api.geomagnetism.ga.gov.au/agrf?latd=-29&amp;latm=30&amp;lats=58.46&amp;lond=141&amp;lonm=30&amp;lons=2.27&amp;year=2015&amp;month=07&amp;day=06&amp;elev=0.184&amp;Ein=D&amp;Ein=d</v>
      </c>
    </row>
    <row r="98" spans="1:24" ht="17" x14ac:dyDescent="0.25">
      <c r="A98" s="1" t="s">
        <v>130</v>
      </c>
      <c r="B98" s="1">
        <v>-29.983029999999999</v>
      </c>
      <c r="C98" s="1">
        <v>138.00015999999999</v>
      </c>
      <c r="D98" t="s">
        <v>678</v>
      </c>
      <c r="E98" t="s">
        <v>679</v>
      </c>
      <c r="F98" t="str">
        <f t="shared" si="17"/>
        <v>-29° 58' 58.91"</v>
      </c>
      <c r="G98" t="str">
        <f t="shared" si="18"/>
        <v>138° 0' 0.58"</v>
      </c>
      <c r="H98" s="5">
        <f t="shared" si="19"/>
        <v>29</v>
      </c>
      <c r="I98" s="5">
        <f t="shared" si="20"/>
        <v>-29</v>
      </c>
      <c r="J98" s="5">
        <f t="shared" si="21"/>
        <v>58</v>
      </c>
      <c r="K98" s="5">
        <f t="shared" si="22"/>
        <v>58.91</v>
      </c>
      <c r="L98" s="5">
        <f t="shared" si="23"/>
        <v>138</v>
      </c>
      <c r="M98" s="5">
        <f t="shared" si="24"/>
        <v>0</v>
      </c>
      <c r="N98" s="5">
        <f t="shared" si="25"/>
        <v>0.57999999999999996</v>
      </c>
      <c r="O98" s="1">
        <v>202</v>
      </c>
      <c r="P98">
        <f t="shared" si="26"/>
        <v>0.20200000000000001</v>
      </c>
      <c r="Q98" s="3" t="s">
        <v>165</v>
      </c>
      <c r="R98" t="str">
        <f t="shared" si="27"/>
        <v>12/06/2015</v>
      </c>
      <c r="S98">
        <f t="shared" si="28"/>
        <v>2015</v>
      </c>
      <c r="T98">
        <f t="shared" si="29"/>
        <v>6</v>
      </c>
      <c r="U98" t="str">
        <f t="shared" si="30"/>
        <v>06</v>
      </c>
      <c r="V98">
        <f t="shared" si="31"/>
        <v>12</v>
      </c>
      <c r="W98" t="str">
        <f t="shared" si="32"/>
        <v>12</v>
      </c>
      <c r="X98" t="str">
        <f t="shared" si="33"/>
        <v>https://api.geomagnetism.ga.gov.au/agrf?latd=-29&amp;latm=58&amp;lats=58.91&amp;lond=138&amp;lonm=0&amp;lons=0.58&amp;year=2015&amp;month=06&amp;day=12&amp;elev=0.202&amp;Ein=D&amp;Ein=d</v>
      </c>
    </row>
    <row r="99" spans="1:24" ht="17" x14ac:dyDescent="0.25">
      <c r="A99" s="1" t="s">
        <v>131</v>
      </c>
      <c r="B99" s="1">
        <v>-30.002749999999999</v>
      </c>
      <c r="C99" s="1">
        <v>138.50606999999999</v>
      </c>
      <c r="D99" t="s">
        <v>680</v>
      </c>
      <c r="E99" t="s">
        <v>681</v>
      </c>
      <c r="F99" t="str">
        <f t="shared" si="17"/>
        <v>-30° 0' 9.90"</v>
      </c>
      <c r="G99" t="str">
        <f t="shared" si="18"/>
        <v>138° 30' 21.85"</v>
      </c>
      <c r="H99" s="5">
        <f t="shared" si="19"/>
        <v>30</v>
      </c>
      <c r="I99" s="5">
        <f t="shared" si="20"/>
        <v>-30</v>
      </c>
      <c r="J99" s="5">
        <f t="shared" si="21"/>
        <v>0</v>
      </c>
      <c r="K99" s="5">
        <f t="shared" si="22"/>
        <v>9.9</v>
      </c>
      <c r="L99" s="5">
        <f t="shared" si="23"/>
        <v>138</v>
      </c>
      <c r="M99" s="5">
        <f t="shared" si="24"/>
        <v>30</v>
      </c>
      <c r="N99" s="5">
        <f t="shared" si="25"/>
        <v>21.85</v>
      </c>
      <c r="O99" s="1">
        <v>117</v>
      </c>
      <c r="P99">
        <f t="shared" si="26"/>
        <v>0.11700000000000001</v>
      </c>
      <c r="Q99" s="3" t="s">
        <v>164</v>
      </c>
      <c r="R99" t="str">
        <f t="shared" si="27"/>
        <v>11/06/2015</v>
      </c>
      <c r="S99">
        <f t="shared" si="28"/>
        <v>2015</v>
      </c>
      <c r="T99">
        <f t="shared" si="29"/>
        <v>6</v>
      </c>
      <c r="U99" t="str">
        <f t="shared" si="30"/>
        <v>06</v>
      </c>
      <c r="V99">
        <f t="shared" si="31"/>
        <v>11</v>
      </c>
      <c r="W99" t="str">
        <f t="shared" si="32"/>
        <v>11</v>
      </c>
      <c r="X99" t="str">
        <f t="shared" si="33"/>
        <v>https://api.geomagnetism.ga.gov.au/agrf?latd=-30&amp;latm=0&amp;lats=9.9&amp;lond=138&amp;lonm=30&amp;lons=21.85&amp;year=2015&amp;month=06&amp;day=11&amp;elev=0.117&amp;Ein=D&amp;Ein=d</v>
      </c>
    </row>
    <row r="100" spans="1:24" ht="17" x14ac:dyDescent="0.25">
      <c r="A100" s="1" t="s">
        <v>132</v>
      </c>
      <c r="B100" s="1">
        <v>-30.000160000000001</v>
      </c>
      <c r="C100" s="1">
        <v>139.00058999999999</v>
      </c>
      <c r="D100" t="s">
        <v>682</v>
      </c>
      <c r="E100" t="s">
        <v>683</v>
      </c>
      <c r="F100" t="str">
        <f t="shared" si="17"/>
        <v>-30° 0' 0.58"</v>
      </c>
      <c r="G100" t="str">
        <f t="shared" si="18"/>
        <v>139° 0' 2.12"</v>
      </c>
      <c r="H100" s="5">
        <f t="shared" si="19"/>
        <v>30</v>
      </c>
      <c r="I100" s="5">
        <f t="shared" si="20"/>
        <v>-30</v>
      </c>
      <c r="J100" s="5">
        <f t="shared" si="21"/>
        <v>0</v>
      </c>
      <c r="K100" s="5">
        <f t="shared" si="22"/>
        <v>0.57999999999999996</v>
      </c>
      <c r="L100" s="5">
        <f t="shared" si="23"/>
        <v>139</v>
      </c>
      <c r="M100" s="5">
        <f t="shared" si="24"/>
        <v>0</v>
      </c>
      <c r="N100" s="5">
        <f t="shared" si="25"/>
        <v>2.12</v>
      </c>
      <c r="O100" s="1">
        <v>197</v>
      </c>
      <c r="P100">
        <f t="shared" si="26"/>
        <v>0.19700000000000001</v>
      </c>
      <c r="Q100" s="3" t="s">
        <v>165</v>
      </c>
      <c r="R100" t="str">
        <f t="shared" si="27"/>
        <v>12/06/2015</v>
      </c>
      <c r="S100">
        <f t="shared" si="28"/>
        <v>2015</v>
      </c>
      <c r="T100">
        <f t="shared" si="29"/>
        <v>6</v>
      </c>
      <c r="U100" t="str">
        <f t="shared" si="30"/>
        <v>06</v>
      </c>
      <c r="V100">
        <f t="shared" si="31"/>
        <v>12</v>
      </c>
      <c r="W100" t="str">
        <f t="shared" si="32"/>
        <v>12</v>
      </c>
      <c r="X100" t="str">
        <f t="shared" si="33"/>
        <v>https://api.geomagnetism.ga.gov.au/agrf?latd=-30&amp;latm=0&amp;lats=0.58&amp;lond=139&amp;lonm=0&amp;lons=2.12&amp;year=2015&amp;month=06&amp;day=12&amp;elev=0.197&amp;Ein=D&amp;Ein=d</v>
      </c>
    </row>
    <row r="101" spans="1:24" ht="17" x14ac:dyDescent="0.25">
      <c r="A101" s="1" t="s">
        <v>133</v>
      </c>
      <c r="B101" s="1">
        <v>-29.957699999999999</v>
      </c>
      <c r="C101" s="1">
        <v>139.48465999999999</v>
      </c>
      <c r="D101" t="s">
        <v>684</v>
      </c>
      <c r="E101" t="s">
        <v>685</v>
      </c>
      <c r="F101" t="str">
        <f t="shared" si="17"/>
        <v>-29° 57' 27.72"</v>
      </c>
      <c r="G101" t="str">
        <f t="shared" si="18"/>
        <v>139° 29' 4.78"</v>
      </c>
      <c r="H101" s="5">
        <f t="shared" si="19"/>
        <v>29</v>
      </c>
      <c r="I101" s="5">
        <f t="shared" si="20"/>
        <v>-29</v>
      </c>
      <c r="J101" s="5">
        <f t="shared" si="21"/>
        <v>57</v>
      </c>
      <c r="K101" s="5">
        <f t="shared" si="22"/>
        <v>27.72</v>
      </c>
      <c r="L101" s="5">
        <f t="shared" si="23"/>
        <v>139</v>
      </c>
      <c r="M101" s="5">
        <f t="shared" si="24"/>
        <v>29</v>
      </c>
      <c r="N101" s="5">
        <f t="shared" si="25"/>
        <v>4.78</v>
      </c>
      <c r="O101" s="1">
        <v>252</v>
      </c>
      <c r="P101">
        <f t="shared" si="26"/>
        <v>0.252</v>
      </c>
      <c r="Q101" s="3" t="s">
        <v>167</v>
      </c>
      <c r="R101" t="str">
        <f t="shared" si="27"/>
        <v>15/06/2015</v>
      </c>
      <c r="S101">
        <f t="shared" si="28"/>
        <v>2015</v>
      </c>
      <c r="T101">
        <f t="shared" si="29"/>
        <v>6</v>
      </c>
      <c r="U101" t="str">
        <f t="shared" si="30"/>
        <v>06</v>
      </c>
      <c r="V101">
        <f t="shared" si="31"/>
        <v>15</v>
      </c>
      <c r="W101" t="str">
        <f t="shared" si="32"/>
        <v>15</v>
      </c>
      <c r="X101" t="str">
        <f t="shared" si="33"/>
        <v>https://api.geomagnetism.ga.gov.au/agrf?latd=-29&amp;latm=57&amp;lats=27.72&amp;lond=139&amp;lonm=29&amp;lons=4.78&amp;year=2015&amp;month=06&amp;day=15&amp;elev=0.252&amp;Ein=D&amp;Ein=d</v>
      </c>
    </row>
    <row r="102" spans="1:24" ht="17" x14ac:dyDescent="0.25">
      <c r="A102" s="1" t="s">
        <v>134</v>
      </c>
      <c r="B102" s="1">
        <v>-29.996742999999999</v>
      </c>
      <c r="C102" s="1">
        <v>139.98708300000001</v>
      </c>
      <c r="D102" t="s">
        <v>686</v>
      </c>
      <c r="E102" t="s">
        <v>687</v>
      </c>
      <c r="F102" t="str">
        <f t="shared" si="17"/>
        <v>-29° 59' 48.27"</v>
      </c>
      <c r="G102" t="str">
        <f t="shared" si="18"/>
        <v>139° 59' 13.50"</v>
      </c>
      <c r="H102" s="5">
        <f t="shared" si="19"/>
        <v>29</v>
      </c>
      <c r="I102" s="5">
        <f t="shared" si="20"/>
        <v>-29</v>
      </c>
      <c r="J102" s="5">
        <f t="shared" si="21"/>
        <v>59</v>
      </c>
      <c r="K102" s="5">
        <f t="shared" si="22"/>
        <v>48.27</v>
      </c>
      <c r="L102" s="5">
        <f t="shared" si="23"/>
        <v>139</v>
      </c>
      <c r="M102" s="5">
        <f t="shared" si="24"/>
        <v>59</v>
      </c>
      <c r="N102" s="5">
        <f t="shared" si="25"/>
        <v>13.5</v>
      </c>
      <c r="O102" s="1">
        <v>30</v>
      </c>
      <c r="P102">
        <f t="shared" si="26"/>
        <v>0.03</v>
      </c>
      <c r="Q102" s="3" t="s">
        <v>167</v>
      </c>
      <c r="R102" t="str">
        <f t="shared" si="27"/>
        <v>15/06/2015</v>
      </c>
      <c r="S102">
        <f t="shared" si="28"/>
        <v>2015</v>
      </c>
      <c r="T102">
        <f t="shared" si="29"/>
        <v>6</v>
      </c>
      <c r="U102" t="str">
        <f t="shared" si="30"/>
        <v>06</v>
      </c>
      <c r="V102">
        <f t="shared" si="31"/>
        <v>15</v>
      </c>
      <c r="W102" t="str">
        <f t="shared" si="32"/>
        <v>15</v>
      </c>
      <c r="X102" t="str">
        <f t="shared" si="33"/>
        <v>https://api.geomagnetism.ga.gov.au/agrf?latd=-29&amp;latm=59&amp;lats=48.27&amp;lond=139&amp;lonm=59&amp;lons=13.5&amp;year=2015&amp;month=06&amp;day=15&amp;elev=0.03&amp;Ein=D&amp;Ein=d</v>
      </c>
    </row>
    <row r="103" spans="1:24" ht="17" x14ac:dyDescent="0.25">
      <c r="A103" s="1" t="s">
        <v>135</v>
      </c>
      <c r="B103" s="1">
        <v>-30.017320000000002</v>
      </c>
      <c r="C103" s="1">
        <v>139.86818</v>
      </c>
      <c r="D103" t="s">
        <v>688</v>
      </c>
      <c r="E103" t="s">
        <v>689</v>
      </c>
      <c r="F103" t="str">
        <f t="shared" si="17"/>
        <v>-30° 1' 2.35"</v>
      </c>
      <c r="G103" t="str">
        <f t="shared" si="18"/>
        <v>139° 52' 5.45"</v>
      </c>
      <c r="H103" s="5">
        <f t="shared" si="19"/>
        <v>30</v>
      </c>
      <c r="I103" s="5">
        <f t="shared" si="20"/>
        <v>-30</v>
      </c>
      <c r="J103" s="5">
        <f t="shared" si="21"/>
        <v>1</v>
      </c>
      <c r="K103" s="5">
        <f t="shared" si="22"/>
        <v>2.35</v>
      </c>
      <c r="L103" s="5">
        <f t="shared" si="23"/>
        <v>139</v>
      </c>
      <c r="M103" s="5">
        <f t="shared" si="24"/>
        <v>52</v>
      </c>
      <c r="N103" s="5">
        <f t="shared" si="25"/>
        <v>5.45</v>
      </c>
      <c r="O103" s="1">
        <v>30</v>
      </c>
      <c r="P103">
        <f t="shared" si="26"/>
        <v>0.03</v>
      </c>
      <c r="Q103" s="3" t="s">
        <v>171</v>
      </c>
      <c r="R103" t="str">
        <f t="shared" si="27"/>
        <v>30/06/2017</v>
      </c>
      <c r="S103">
        <f t="shared" si="28"/>
        <v>2017</v>
      </c>
      <c r="T103">
        <f t="shared" si="29"/>
        <v>6</v>
      </c>
      <c r="U103" t="str">
        <f t="shared" si="30"/>
        <v>06</v>
      </c>
      <c r="V103">
        <f t="shared" si="31"/>
        <v>30</v>
      </c>
      <c r="W103" t="str">
        <f t="shared" si="32"/>
        <v>30</v>
      </c>
      <c r="X103" t="str">
        <f t="shared" si="33"/>
        <v>https://api.geomagnetism.ga.gov.au/agrf?latd=-30&amp;latm=1&amp;lats=2.35&amp;lond=139&amp;lonm=52&amp;lons=5.45&amp;year=2017&amp;month=06&amp;day=30&amp;elev=0.03&amp;Ein=D&amp;Ein=d</v>
      </c>
    </row>
    <row r="104" spans="1:24" ht="17" x14ac:dyDescent="0.25">
      <c r="A104" s="1" t="s">
        <v>188</v>
      </c>
      <c r="B104" s="1">
        <v>-29.94679</v>
      </c>
      <c r="C104" s="1">
        <v>146.44672</v>
      </c>
      <c r="D104" t="s">
        <v>690</v>
      </c>
      <c r="E104" t="s">
        <v>691</v>
      </c>
      <c r="F104" t="str">
        <f t="shared" si="17"/>
        <v>-29° 56' 48.44"</v>
      </c>
      <c r="G104" t="str">
        <f t="shared" si="18"/>
        <v>146° 26' 48.19"</v>
      </c>
      <c r="H104" s="5">
        <f t="shared" si="19"/>
        <v>29</v>
      </c>
      <c r="I104" s="5">
        <f t="shared" si="20"/>
        <v>-29</v>
      </c>
      <c r="J104" s="5">
        <f t="shared" si="21"/>
        <v>56</v>
      </c>
      <c r="K104" s="5">
        <f t="shared" si="22"/>
        <v>48.44</v>
      </c>
      <c r="L104" s="5">
        <f t="shared" si="23"/>
        <v>146</v>
      </c>
      <c r="M104" s="5">
        <f t="shared" si="24"/>
        <v>26</v>
      </c>
      <c r="N104" s="5">
        <f t="shared" si="25"/>
        <v>48.19</v>
      </c>
      <c r="O104" s="1">
        <v>45</v>
      </c>
      <c r="P104">
        <f t="shared" si="26"/>
        <v>4.4999999999999998E-2</v>
      </c>
      <c r="Q104" s="3" t="s">
        <v>169</v>
      </c>
      <c r="R104" t="str">
        <f t="shared" si="27"/>
        <v>16/06/2015</v>
      </c>
      <c r="S104">
        <f t="shared" si="28"/>
        <v>2015</v>
      </c>
      <c r="T104">
        <f t="shared" si="29"/>
        <v>6</v>
      </c>
      <c r="U104" t="str">
        <f t="shared" si="30"/>
        <v>06</v>
      </c>
      <c r="V104">
        <f t="shared" si="31"/>
        <v>16</v>
      </c>
      <c r="W104" t="str">
        <f t="shared" si="32"/>
        <v>16</v>
      </c>
      <c r="X104" t="str">
        <f t="shared" si="33"/>
        <v>https://api.geomagnetism.ga.gov.au/agrf?latd=-29&amp;latm=56&amp;lats=48.44&amp;lond=146&amp;lonm=26&amp;lons=48.19&amp;year=2015&amp;month=06&amp;day=16&amp;elev=0.045&amp;Ein=D&amp;Ein=d</v>
      </c>
    </row>
    <row r="105" spans="1:24" ht="17" x14ac:dyDescent="0.25">
      <c r="A105" s="1" t="s">
        <v>189</v>
      </c>
      <c r="B105" s="1">
        <v>-30.011970000000002</v>
      </c>
      <c r="C105" s="1">
        <v>140.99914999999999</v>
      </c>
      <c r="D105" t="s">
        <v>692</v>
      </c>
      <c r="E105" t="s">
        <v>693</v>
      </c>
      <c r="F105" t="str">
        <f t="shared" si="17"/>
        <v>-30° 0' 43.09"</v>
      </c>
      <c r="G105" t="str">
        <f t="shared" si="18"/>
        <v>140° 59' 56.94"</v>
      </c>
      <c r="H105" s="5">
        <f t="shared" si="19"/>
        <v>30</v>
      </c>
      <c r="I105" s="5">
        <f t="shared" si="20"/>
        <v>-30</v>
      </c>
      <c r="J105" s="5">
        <f t="shared" si="21"/>
        <v>0</v>
      </c>
      <c r="K105" s="5">
        <f t="shared" si="22"/>
        <v>43.09</v>
      </c>
      <c r="L105" s="5">
        <f t="shared" si="23"/>
        <v>140</v>
      </c>
      <c r="M105" s="5">
        <f t="shared" si="24"/>
        <v>59</v>
      </c>
      <c r="N105" s="5">
        <f t="shared" si="25"/>
        <v>56.94</v>
      </c>
      <c r="O105" s="1">
        <v>85</v>
      </c>
      <c r="P105">
        <f t="shared" si="26"/>
        <v>8.5000000000000006E-2</v>
      </c>
      <c r="Q105" s="3" t="s">
        <v>172</v>
      </c>
      <c r="R105" t="str">
        <f t="shared" si="27"/>
        <v>17/06/2015</v>
      </c>
      <c r="S105">
        <f t="shared" si="28"/>
        <v>2015</v>
      </c>
      <c r="T105">
        <f t="shared" si="29"/>
        <v>6</v>
      </c>
      <c r="U105" t="str">
        <f t="shared" si="30"/>
        <v>06</v>
      </c>
      <c r="V105">
        <f t="shared" si="31"/>
        <v>17</v>
      </c>
      <c r="W105" t="str">
        <f t="shared" si="32"/>
        <v>17</v>
      </c>
      <c r="X105" t="str">
        <f t="shared" si="33"/>
        <v>https://api.geomagnetism.ga.gov.au/agrf?latd=-30&amp;latm=0&amp;lats=43.09&amp;lond=140&amp;lonm=59&amp;lons=56.94&amp;year=2015&amp;month=06&amp;day=17&amp;elev=0.085&amp;Ein=D&amp;Ein=d</v>
      </c>
    </row>
    <row r="106" spans="1:24" ht="17" x14ac:dyDescent="0.25">
      <c r="A106" s="1" t="s">
        <v>136</v>
      </c>
      <c r="B106" s="1">
        <v>-29.97635</v>
      </c>
      <c r="C106" s="1">
        <v>141.4633</v>
      </c>
      <c r="D106" t="s">
        <v>694</v>
      </c>
      <c r="E106" t="s">
        <v>695</v>
      </c>
      <c r="F106" t="str">
        <f t="shared" si="17"/>
        <v>-29° 58' 34.86"</v>
      </c>
      <c r="G106" t="str">
        <f t="shared" si="18"/>
        <v>141° 27' 47.88"</v>
      </c>
      <c r="H106" s="5">
        <f t="shared" si="19"/>
        <v>29</v>
      </c>
      <c r="I106" s="5">
        <f t="shared" si="20"/>
        <v>-29</v>
      </c>
      <c r="J106" s="5">
        <f t="shared" si="21"/>
        <v>58</v>
      </c>
      <c r="K106" s="5">
        <f t="shared" si="22"/>
        <v>34.86</v>
      </c>
      <c r="L106" s="5">
        <f t="shared" si="23"/>
        <v>141</v>
      </c>
      <c r="M106" s="5">
        <f t="shared" si="24"/>
        <v>27</v>
      </c>
      <c r="N106" s="5">
        <f t="shared" si="25"/>
        <v>47.88</v>
      </c>
      <c r="O106" s="1">
        <v>158</v>
      </c>
      <c r="P106">
        <f t="shared" si="26"/>
        <v>0.158</v>
      </c>
      <c r="Q106" s="3" t="s">
        <v>173</v>
      </c>
      <c r="R106" t="str">
        <f t="shared" si="27"/>
        <v>05/07/2015</v>
      </c>
      <c r="S106">
        <f t="shared" si="28"/>
        <v>2015</v>
      </c>
      <c r="T106">
        <f t="shared" si="29"/>
        <v>7</v>
      </c>
      <c r="U106" t="str">
        <f t="shared" si="30"/>
        <v>07</v>
      </c>
      <c r="V106">
        <f t="shared" si="31"/>
        <v>5</v>
      </c>
      <c r="W106" t="str">
        <f t="shared" si="32"/>
        <v>05</v>
      </c>
      <c r="X106" t="str">
        <f t="shared" si="33"/>
        <v>https://api.geomagnetism.ga.gov.au/agrf?latd=-29&amp;latm=58&amp;lats=34.86&amp;lond=141&amp;lonm=27&amp;lons=47.88&amp;year=2015&amp;month=07&amp;day=05&amp;elev=0.158&amp;Ein=D&amp;Ein=d</v>
      </c>
    </row>
    <row r="107" spans="1:24" ht="17" x14ac:dyDescent="0.25">
      <c r="A107" s="1" t="s">
        <v>137</v>
      </c>
      <c r="B107" s="1">
        <v>-30.417020000000001</v>
      </c>
      <c r="C107" s="1">
        <v>138.02925999999999</v>
      </c>
      <c r="D107" t="s">
        <v>696</v>
      </c>
      <c r="E107" t="s">
        <v>697</v>
      </c>
      <c r="F107" t="str">
        <f t="shared" si="17"/>
        <v>-30° 25' 1.27"</v>
      </c>
      <c r="G107" t="str">
        <f t="shared" si="18"/>
        <v>138° 1' 45.34"</v>
      </c>
      <c r="H107" s="5">
        <f t="shared" si="19"/>
        <v>30</v>
      </c>
      <c r="I107" s="5">
        <f t="shared" si="20"/>
        <v>-30</v>
      </c>
      <c r="J107" s="5">
        <f t="shared" si="21"/>
        <v>25</v>
      </c>
      <c r="K107" s="5">
        <f t="shared" si="22"/>
        <v>1.27</v>
      </c>
      <c r="L107" s="5">
        <f t="shared" si="23"/>
        <v>138</v>
      </c>
      <c r="M107" s="5">
        <f t="shared" si="24"/>
        <v>1</v>
      </c>
      <c r="N107" s="5">
        <f t="shared" si="25"/>
        <v>45.34</v>
      </c>
      <c r="O107" s="1">
        <v>98</v>
      </c>
      <c r="P107">
        <f t="shared" si="26"/>
        <v>9.8000000000000004E-2</v>
      </c>
      <c r="Q107" s="3" t="s">
        <v>165</v>
      </c>
      <c r="R107" t="str">
        <f t="shared" si="27"/>
        <v>12/06/2015</v>
      </c>
      <c r="S107">
        <f t="shared" si="28"/>
        <v>2015</v>
      </c>
      <c r="T107">
        <f t="shared" si="29"/>
        <v>6</v>
      </c>
      <c r="U107" t="str">
        <f t="shared" si="30"/>
        <v>06</v>
      </c>
      <c r="V107">
        <f t="shared" si="31"/>
        <v>12</v>
      </c>
      <c r="W107" t="str">
        <f t="shared" si="32"/>
        <v>12</v>
      </c>
      <c r="X107" t="str">
        <f t="shared" si="33"/>
        <v>https://api.geomagnetism.ga.gov.au/agrf?latd=-30&amp;latm=25&amp;lats=1.27&amp;lond=138&amp;lonm=1&amp;lons=45.34&amp;year=2015&amp;month=06&amp;day=12&amp;elev=0.098&amp;Ein=D&amp;Ein=d</v>
      </c>
    </row>
    <row r="108" spans="1:24" ht="17" x14ac:dyDescent="0.25">
      <c r="A108" s="1" t="s">
        <v>190</v>
      </c>
      <c r="B108" s="1">
        <v>-30.492599999999999</v>
      </c>
      <c r="C108" s="1">
        <v>140.12461999999999</v>
      </c>
      <c r="D108" t="s">
        <v>698</v>
      </c>
      <c r="E108" t="s">
        <v>699</v>
      </c>
      <c r="F108" t="str">
        <f t="shared" si="17"/>
        <v>-30° 29' 33.36"</v>
      </c>
      <c r="G108" t="str">
        <f t="shared" si="18"/>
        <v>140° 7' 28.63"</v>
      </c>
      <c r="H108" s="5">
        <f t="shared" si="19"/>
        <v>30</v>
      </c>
      <c r="I108" s="5">
        <f t="shared" si="20"/>
        <v>-30</v>
      </c>
      <c r="J108" s="5">
        <f t="shared" si="21"/>
        <v>29</v>
      </c>
      <c r="K108" s="5">
        <f t="shared" si="22"/>
        <v>33.36</v>
      </c>
      <c r="L108" s="5">
        <f t="shared" si="23"/>
        <v>140</v>
      </c>
      <c r="M108" s="5">
        <f t="shared" si="24"/>
        <v>7</v>
      </c>
      <c r="N108" s="5">
        <f t="shared" si="25"/>
        <v>28.63</v>
      </c>
      <c r="O108" s="1">
        <v>27</v>
      </c>
      <c r="P108">
        <f t="shared" si="26"/>
        <v>2.7E-2</v>
      </c>
      <c r="Q108" s="3" t="s">
        <v>172</v>
      </c>
      <c r="R108" t="str">
        <f t="shared" si="27"/>
        <v>17/06/2015</v>
      </c>
      <c r="S108">
        <f t="shared" si="28"/>
        <v>2015</v>
      </c>
      <c r="T108">
        <f t="shared" si="29"/>
        <v>6</v>
      </c>
      <c r="U108" t="str">
        <f t="shared" si="30"/>
        <v>06</v>
      </c>
      <c r="V108">
        <f t="shared" si="31"/>
        <v>17</v>
      </c>
      <c r="W108" t="str">
        <f t="shared" si="32"/>
        <v>17</v>
      </c>
      <c r="X108" t="str">
        <f t="shared" si="33"/>
        <v>https://api.geomagnetism.ga.gov.au/agrf?latd=-30&amp;latm=29&amp;lats=33.36&amp;lond=140&amp;lonm=7&amp;lons=28.63&amp;year=2015&amp;month=06&amp;day=17&amp;elev=0.027&amp;Ein=D&amp;Ein=d</v>
      </c>
    </row>
    <row r="109" spans="1:24" ht="17" x14ac:dyDescent="0.25">
      <c r="A109" s="1" t="s">
        <v>138</v>
      </c>
      <c r="B109" s="1">
        <v>-30.498449999999998</v>
      </c>
      <c r="C109" s="1">
        <v>140.12269000000001</v>
      </c>
      <c r="D109" t="s">
        <v>700</v>
      </c>
      <c r="E109" t="s">
        <v>701</v>
      </c>
      <c r="F109" t="str">
        <f t="shared" si="17"/>
        <v>-30° 29' 54.42"</v>
      </c>
      <c r="G109" t="str">
        <f t="shared" si="18"/>
        <v>140° 7' 21.68"</v>
      </c>
      <c r="H109" s="5">
        <f t="shared" si="19"/>
        <v>30</v>
      </c>
      <c r="I109" s="5">
        <f t="shared" si="20"/>
        <v>-30</v>
      </c>
      <c r="J109" s="5">
        <f t="shared" si="21"/>
        <v>29</v>
      </c>
      <c r="K109" s="5">
        <f t="shared" si="22"/>
        <v>54.42</v>
      </c>
      <c r="L109" s="5">
        <f t="shared" si="23"/>
        <v>140</v>
      </c>
      <c r="M109" s="5">
        <f t="shared" si="24"/>
        <v>7</v>
      </c>
      <c r="N109" s="5">
        <f t="shared" si="25"/>
        <v>21.68</v>
      </c>
      <c r="O109" s="1">
        <v>32</v>
      </c>
      <c r="P109">
        <f t="shared" si="26"/>
        <v>3.2000000000000001E-2</v>
      </c>
      <c r="Q109" s="3" t="s">
        <v>174</v>
      </c>
      <c r="R109" t="str">
        <f t="shared" si="27"/>
        <v>31/07/2015</v>
      </c>
      <c r="S109">
        <f t="shared" si="28"/>
        <v>2015</v>
      </c>
      <c r="T109">
        <f t="shared" si="29"/>
        <v>7</v>
      </c>
      <c r="U109" t="str">
        <f t="shared" si="30"/>
        <v>07</v>
      </c>
      <c r="V109">
        <f t="shared" si="31"/>
        <v>31</v>
      </c>
      <c r="W109" t="str">
        <f t="shared" si="32"/>
        <v>31</v>
      </c>
      <c r="X109" t="str">
        <f t="shared" si="33"/>
        <v>https://api.geomagnetism.ga.gov.au/agrf?latd=-30&amp;latm=29&amp;lats=54.42&amp;lond=140&amp;lonm=7&amp;lons=21.68&amp;year=2015&amp;month=07&amp;day=31&amp;elev=0.032&amp;Ein=D&amp;Ein=d</v>
      </c>
    </row>
    <row r="110" spans="1:24" ht="17" x14ac:dyDescent="0.25">
      <c r="A110" s="1" t="s">
        <v>191</v>
      </c>
      <c r="B110" s="1">
        <v>-30.492190000000001</v>
      </c>
      <c r="C110" s="1">
        <v>140.49707000000001</v>
      </c>
      <c r="D110" t="s">
        <v>702</v>
      </c>
      <c r="E110" t="s">
        <v>703</v>
      </c>
      <c r="F110" t="str">
        <f t="shared" si="17"/>
        <v>-30° 29' 31.88"</v>
      </c>
      <c r="G110" t="str">
        <f t="shared" si="18"/>
        <v>140° 29' 49.45"</v>
      </c>
      <c r="H110" s="5">
        <f t="shared" si="19"/>
        <v>30</v>
      </c>
      <c r="I110" s="5">
        <f t="shared" si="20"/>
        <v>-30</v>
      </c>
      <c r="J110" s="5">
        <f t="shared" si="21"/>
        <v>29</v>
      </c>
      <c r="K110" s="5">
        <f t="shared" si="22"/>
        <v>31.88</v>
      </c>
      <c r="L110" s="5">
        <f t="shared" si="23"/>
        <v>140</v>
      </c>
      <c r="M110" s="5">
        <f t="shared" si="24"/>
        <v>29</v>
      </c>
      <c r="N110" s="5">
        <f t="shared" si="25"/>
        <v>49.45</v>
      </c>
      <c r="O110" s="1">
        <v>46</v>
      </c>
      <c r="P110">
        <f t="shared" si="26"/>
        <v>4.5999999999999999E-2</v>
      </c>
      <c r="Q110" s="3" t="s">
        <v>175</v>
      </c>
      <c r="R110" t="str">
        <f t="shared" si="27"/>
        <v>08/07/2015</v>
      </c>
      <c r="S110">
        <f t="shared" si="28"/>
        <v>2015</v>
      </c>
      <c r="T110">
        <f t="shared" si="29"/>
        <v>7</v>
      </c>
      <c r="U110" t="str">
        <f t="shared" si="30"/>
        <v>07</v>
      </c>
      <c r="V110">
        <f t="shared" si="31"/>
        <v>8</v>
      </c>
      <c r="W110" t="str">
        <f t="shared" si="32"/>
        <v>08</v>
      </c>
      <c r="X110" t="str">
        <f t="shared" si="33"/>
        <v>https://api.geomagnetism.ga.gov.au/agrf?latd=-30&amp;latm=29&amp;lats=31.88&amp;lond=140&amp;lonm=29&amp;lons=49.45&amp;year=2015&amp;month=07&amp;day=08&amp;elev=0.046&amp;Ein=D&amp;Ein=d</v>
      </c>
    </row>
    <row r="111" spans="1:24" ht="17" x14ac:dyDescent="0.25">
      <c r="A111" s="1" t="s">
        <v>139</v>
      </c>
      <c r="B111" s="1">
        <v>-30.504000000000001</v>
      </c>
      <c r="C111" s="1">
        <v>141.00181000000001</v>
      </c>
      <c r="D111" t="s">
        <v>704</v>
      </c>
      <c r="E111" t="s">
        <v>705</v>
      </c>
      <c r="F111" t="str">
        <f t="shared" si="17"/>
        <v>-30° 30' 14.40"</v>
      </c>
      <c r="G111" t="str">
        <f t="shared" si="18"/>
        <v>141° 0' 6.52"</v>
      </c>
      <c r="H111" s="5">
        <f t="shared" si="19"/>
        <v>30</v>
      </c>
      <c r="I111" s="5">
        <f t="shared" si="20"/>
        <v>-30</v>
      </c>
      <c r="J111" s="5">
        <f t="shared" si="21"/>
        <v>30</v>
      </c>
      <c r="K111" s="5">
        <f t="shared" si="22"/>
        <v>14.4</v>
      </c>
      <c r="L111" s="5">
        <f t="shared" si="23"/>
        <v>141</v>
      </c>
      <c r="M111" s="5">
        <f t="shared" si="24"/>
        <v>0</v>
      </c>
      <c r="N111" s="5">
        <f t="shared" si="25"/>
        <v>6.52</v>
      </c>
      <c r="O111" s="1">
        <v>57</v>
      </c>
      <c r="P111">
        <f t="shared" si="26"/>
        <v>5.7000000000000002E-2</v>
      </c>
      <c r="Q111" s="3" t="s">
        <v>175</v>
      </c>
      <c r="R111" t="str">
        <f t="shared" si="27"/>
        <v>08/07/2015</v>
      </c>
      <c r="S111">
        <f t="shared" si="28"/>
        <v>2015</v>
      </c>
      <c r="T111">
        <f t="shared" si="29"/>
        <v>7</v>
      </c>
      <c r="U111" t="str">
        <f t="shared" si="30"/>
        <v>07</v>
      </c>
      <c r="V111">
        <f t="shared" si="31"/>
        <v>8</v>
      </c>
      <c r="W111" t="str">
        <f t="shared" si="32"/>
        <v>08</v>
      </c>
      <c r="X111" t="str">
        <f t="shared" si="33"/>
        <v>https://api.geomagnetism.ga.gov.au/agrf?latd=-30&amp;latm=30&amp;lats=14.4&amp;lond=141&amp;lonm=0&amp;lons=6.52&amp;year=2015&amp;month=07&amp;day=08&amp;elev=0.057&amp;Ein=D&amp;Ein=d</v>
      </c>
    </row>
    <row r="112" spans="1:24" ht="17" x14ac:dyDescent="0.25">
      <c r="A112" s="1" t="s">
        <v>140</v>
      </c>
      <c r="B112" s="1">
        <v>-30.495259999999998</v>
      </c>
      <c r="C112" s="1">
        <v>141.49789000000001</v>
      </c>
      <c r="D112" t="s">
        <v>706</v>
      </c>
      <c r="E112" t="s">
        <v>707</v>
      </c>
      <c r="F112" t="str">
        <f t="shared" si="17"/>
        <v>-30° 29' 42.94"</v>
      </c>
      <c r="G112" t="str">
        <f t="shared" si="18"/>
        <v>141° 29' 52.40"</v>
      </c>
      <c r="H112" s="5">
        <f t="shared" si="19"/>
        <v>30</v>
      </c>
      <c r="I112" s="5">
        <f t="shared" si="20"/>
        <v>-30</v>
      </c>
      <c r="J112" s="5">
        <f t="shared" si="21"/>
        <v>29</v>
      </c>
      <c r="K112" s="5">
        <f t="shared" si="22"/>
        <v>42.94</v>
      </c>
      <c r="L112" s="5">
        <f t="shared" si="23"/>
        <v>141</v>
      </c>
      <c r="M112" s="5">
        <f t="shared" si="24"/>
        <v>29</v>
      </c>
      <c r="N112" s="5">
        <f t="shared" si="25"/>
        <v>52.4</v>
      </c>
      <c r="O112" s="1">
        <v>83</v>
      </c>
      <c r="P112">
        <f t="shared" si="26"/>
        <v>8.3000000000000004E-2</v>
      </c>
      <c r="Q112" s="3" t="s">
        <v>170</v>
      </c>
      <c r="R112" t="str">
        <f t="shared" si="27"/>
        <v>06/07/2015</v>
      </c>
      <c r="S112">
        <f t="shared" si="28"/>
        <v>2015</v>
      </c>
      <c r="T112">
        <f t="shared" si="29"/>
        <v>7</v>
      </c>
      <c r="U112" t="str">
        <f t="shared" si="30"/>
        <v>07</v>
      </c>
      <c r="V112">
        <f t="shared" si="31"/>
        <v>6</v>
      </c>
      <c r="W112" t="str">
        <f t="shared" si="32"/>
        <v>06</v>
      </c>
      <c r="X112" t="str">
        <f t="shared" si="33"/>
        <v>https://api.geomagnetism.ga.gov.au/agrf?latd=-30&amp;latm=29&amp;lats=42.94&amp;lond=141&amp;lonm=29&amp;lons=52.4&amp;year=2015&amp;month=07&amp;day=06&amp;elev=0.083&amp;Ein=D&amp;Ein=d</v>
      </c>
    </row>
    <row r="113" spans="1:24" ht="17" x14ac:dyDescent="0.25">
      <c r="A113" s="1" t="s">
        <v>141</v>
      </c>
      <c r="B113" s="1">
        <v>-30.94839</v>
      </c>
      <c r="C113" s="1">
        <v>138.15029000000001</v>
      </c>
      <c r="D113" t="s">
        <v>708</v>
      </c>
      <c r="E113" t="s">
        <v>709</v>
      </c>
      <c r="F113" t="str">
        <f t="shared" si="17"/>
        <v>-30° 56' 54.20"</v>
      </c>
      <c r="G113" t="str">
        <f t="shared" si="18"/>
        <v>138° 9' 1.04"</v>
      </c>
      <c r="H113" s="5">
        <f t="shared" si="19"/>
        <v>30</v>
      </c>
      <c r="I113" s="5">
        <f t="shared" si="20"/>
        <v>-30</v>
      </c>
      <c r="J113" s="5">
        <f t="shared" si="21"/>
        <v>56</v>
      </c>
      <c r="K113" s="5">
        <f t="shared" si="22"/>
        <v>54.2</v>
      </c>
      <c r="L113" s="5">
        <f t="shared" si="23"/>
        <v>138</v>
      </c>
      <c r="M113" s="5">
        <f t="shared" si="24"/>
        <v>9</v>
      </c>
      <c r="N113" s="5">
        <f t="shared" si="25"/>
        <v>1.04</v>
      </c>
      <c r="O113" s="1">
        <v>80</v>
      </c>
      <c r="P113">
        <f t="shared" si="26"/>
        <v>0.08</v>
      </c>
      <c r="Q113" s="3" t="s">
        <v>165</v>
      </c>
      <c r="R113" t="str">
        <f t="shared" si="27"/>
        <v>12/06/2015</v>
      </c>
      <c r="S113">
        <f t="shared" si="28"/>
        <v>2015</v>
      </c>
      <c r="T113">
        <f t="shared" si="29"/>
        <v>6</v>
      </c>
      <c r="U113" t="str">
        <f t="shared" si="30"/>
        <v>06</v>
      </c>
      <c r="V113">
        <f t="shared" si="31"/>
        <v>12</v>
      </c>
      <c r="W113" t="str">
        <f t="shared" si="32"/>
        <v>12</v>
      </c>
      <c r="X113" t="str">
        <f t="shared" si="33"/>
        <v>https://api.geomagnetism.ga.gov.au/agrf?latd=-30&amp;latm=56&amp;lats=54.2&amp;lond=138&amp;lonm=9&amp;lons=1.04&amp;year=2015&amp;month=06&amp;day=12&amp;elev=0.08&amp;Ein=D&amp;Ein=d</v>
      </c>
    </row>
    <row r="114" spans="1:24" ht="17" x14ac:dyDescent="0.25">
      <c r="A114" s="1" t="s">
        <v>192</v>
      </c>
      <c r="B114" s="1">
        <v>-31.015830000000001</v>
      </c>
      <c r="C114" s="1">
        <v>140.00630000000001</v>
      </c>
      <c r="D114" t="s">
        <v>710</v>
      </c>
      <c r="E114" t="s">
        <v>711</v>
      </c>
      <c r="F114" t="str">
        <f t="shared" si="17"/>
        <v>-31° 0' 56.99"</v>
      </c>
      <c r="G114" t="str">
        <f t="shared" si="18"/>
        <v>140° 0' 22.68"</v>
      </c>
      <c r="H114" s="5">
        <f t="shared" si="19"/>
        <v>31</v>
      </c>
      <c r="I114" s="5">
        <f t="shared" si="20"/>
        <v>-31</v>
      </c>
      <c r="J114" s="5">
        <f t="shared" si="21"/>
        <v>0</v>
      </c>
      <c r="K114" s="5">
        <f t="shared" si="22"/>
        <v>56.99</v>
      </c>
      <c r="L114" s="5">
        <f t="shared" si="23"/>
        <v>140</v>
      </c>
      <c r="M114" s="5">
        <f t="shared" si="24"/>
        <v>0</v>
      </c>
      <c r="N114" s="5">
        <f t="shared" si="25"/>
        <v>22.68</v>
      </c>
      <c r="O114" s="1">
        <v>7</v>
      </c>
      <c r="P114">
        <f t="shared" si="26"/>
        <v>7.0000000000000001E-3</v>
      </c>
      <c r="Q114" s="3" t="s">
        <v>172</v>
      </c>
      <c r="R114" t="str">
        <f t="shared" si="27"/>
        <v>17/06/2015</v>
      </c>
      <c r="S114">
        <f t="shared" si="28"/>
        <v>2015</v>
      </c>
      <c r="T114">
        <f t="shared" si="29"/>
        <v>6</v>
      </c>
      <c r="U114" t="str">
        <f t="shared" si="30"/>
        <v>06</v>
      </c>
      <c r="V114">
        <f t="shared" si="31"/>
        <v>17</v>
      </c>
      <c r="W114" t="str">
        <f t="shared" si="32"/>
        <v>17</v>
      </c>
      <c r="X114" t="str">
        <f t="shared" si="33"/>
        <v>https://api.geomagnetism.ga.gov.au/agrf?latd=-31&amp;latm=0&amp;lats=56.99&amp;lond=140&amp;lonm=0&amp;lons=22.68&amp;year=2015&amp;month=06&amp;day=17&amp;elev=0.007&amp;Ein=D&amp;Ein=d</v>
      </c>
    </row>
    <row r="115" spans="1:24" ht="17" x14ac:dyDescent="0.25">
      <c r="A115" s="1" t="s">
        <v>142</v>
      </c>
      <c r="B115" s="1">
        <v>-30.968409999999999</v>
      </c>
      <c r="C115" s="1">
        <v>140.50181000000001</v>
      </c>
      <c r="D115" t="s">
        <v>712</v>
      </c>
      <c r="E115" t="s">
        <v>713</v>
      </c>
      <c r="F115" t="str">
        <f t="shared" si="17"/>
        <v>-30° 58' 6.28"</v>
      </c>
      <c r="G115" t="str">
        <f t="shared" si="18"/>
        <v>140° 30' 6.52"</v>
      </c>
      <c r="H115" s="5">
        <f t="shared" si="19"/>
        <v>30</v>
      </c>
      <c r="I115" s="5">
        <f t="shared" si="20"/>
        <v>-30</v>
      </c>
      <c r="J115" s="5">
        <f t="shared" si="21"/>
        <v>58</v>
      </c>
      <c r="K115" s="5">
        <f t="shared" si="22"/>
        <v>6.28</v>
      </c>
      <c r="L115" s="5">
        <f t="shared" si="23"/>
        <v>140</v>
      </c>
      <c r="M115" s="5">
        <f t="shared" si="24"/>
        <v>30</v>
      </c>
      <c r="N115" s="5">
        <f t="shared" si="25"/>
        <v>6.52</v>
      </c>
      <c r="O115" s="1">
        <v>64</v>
      </c>
      <c r="P115">
        <f t="shared" si="26"/>
        <v>6.4000000000000001E-2</v>
      </c>
      <c r="Q115" s="3" t="s">
        <v>176</v>
      </c>
      <c r="R115" t="str">
        <f t="shared" si="27"/>
        <v>09/07/2015</v>
      </c>
      <c r="S115">
        <f t="shared" si="28"/>
        <v>2015</v>
      </c>
      <c r="T115">
        <f t="shared" si="29"/>
        <v>7</v>
      </c>
      <c r="U115" t="str">
        <f t="shared" si="30"/>
        <v>07</v>
      </c>
      <c r="V115">
        <f t="shared" si="31"/>
        <v>9</v>
      </c>
      <c r="W115" t="str">
        <f t="shared" si="32"/>
        <v>09</v>
      </c>
      <c r="X115" t="str">
        <f t="shared" si="33"/>
        <v>https://api.geomagnetism.ga.gov.au/agrf?latd=-30&amp;latm=58&amp;lats=6.28&amp;lond=140&amp;lonm=30&amp;lons=6.52&amp;year=2015&amp;month=07&amp;day=09&amp;elev=0.064&amp;Ein=D&amp;Ein=d</v>
      </c>
    </row>
    <row r="116" spans="1:24" ht="17" x14ac:dyDescent="0.25">
      <c r="A116" s="1" t="s">
        <v>143</v>
      </c>
      <c r="B116" s="1">
        <v>-31.002700000000001</v>
      </c>
      <c r="C116" s="1">
        <v>140.99891</v>
      </c>
      <c r="D116" t="s">
        <v>714</v>
      </c>
      <c r="E116" t="s">
        <v>715</v>
      </c>
      <c r="F116" t="str">
        <f t="shared" si="17"/>
        <v>-31° 0' 9.72"</v>
      </c>
      <c r="G116" t="str">
        <f t="shared" si="18"/>
        <v>140° 59' 56.08"</v>
      </c>
      <c r="H116" s="5">
        <f t="shared" si="19"/>
        <v>31</v>
      </c>
      <c r="I116" s="5">
        <f t="shared" si="20"/>
        <v>-31</v>
      </c>
      <c r="J116" s="5">
        <f t="shared" si="21"/>
        <v>0</v>
      </c>
      <c r="K116" s="5">
        <f t="shared" si="22"/>
        <v>9.7200000000000006</v>
      </c>
      <c r="L116" s="5">
        <f t="shared" si="23"/>
        <v>140</v>
      </c>
      <c r="M116" s="5">
        <f t="shared" si="24"/>
        <v>59</v>
      </c>
      <c r="N116" s="5">
        <f t="shared" si="25"/>
        <v>56.08</v>
      </c>
      <c r="O116" s="1">
        <v>76</v>
      </c>
      <c r="P116">
        <f t="shared" si="26"/>
        <v>7.5999999999999998E-2</v>
      </c>
      <c r="Q116" s="3" t="s">
        <v>175</v>
      </c>
      <c r="R116" t="str">
        <f t="shared" si="27"/>
        <v>08/07/2015</v>
      </c>
      <c r="S116">
        <f t="shared" si="28"/>
        <v>2015</v>
      </c>
      <c r="T116">
        <f t="shared" si="29"/>
        <v>7</v>
      </c>
      <c r="U116" t="str">
        <f t="shared" si="30"/>
        <v>07</v>
      </c>
      <c r="V116">
        <f t="shared" si="31"/>
        <v>8</v>
      </c>
      <c r="W116" t="str">
        <f t="shared" si="32"/>
        <v>08</v>
      </c>
      <c r="X116" t="str">
        <f t="shared" si="33"/>
        <v>https://api.geomagnetism.ga.gov.au/agrf?latd=-31&amp;latm=0&amp;lats=9.72&amp;lond=140&amp;lonm=59&amp;lons=56.08&amp;year=2015&amp;month=07&amp;day=08&amp;elev=0.076&amp;Ein=D&amp;Ein=d</v>
      </c>
    </row>
    <row r="117" spans="1:24" ht="17" x14ac:dyDescent="0.25">
      <c r="A117" s="1" t="s">
        <v>144</v>
      </c>
      <c r="B117" s="1">
        <v>-30.977589999999999</v>
      </c>
      <c r="C117" s="1">
        <v>141.47557</v>
      </c>
      <c r="D117" t="s">
        <v>716</v>
      </c>
      <c r="E117" t="s">
        <v>717</v>
      </c>
      <c r="F117" t="str">
        <f t="shared" si="17"/>
        <v>-30° 58' 39.32"</v>
      </c>
      <c r="G117" t="str">
        <f t="shared" si="18"/>
        <v>141° 28' 32.05"</v>
      </c>
      <c r="H117" s="5">
        <f t="shared" si="19"/>
        <v>30</v>
      </c>
      <c r="I117" s="5">
        <f t="shared" si="20"/>
        <v>-30</v>
      </c>
      <c r="J117" s="5">
        <f t="shared" si="21"/>
        <v>58</v>
      </c>
      <c r="K117" s="5">
        <f t="shared" si="22"/>
        <v>39.32</v>
      </c>
      <c r="L117" s="5">
        <f t="shared" si="23"/>
        <v>141</v>
      </c>
      <c r="M117" s="5">
        <f t="shared" si="24"/>
        <v>28</v>
      </c>
      <c r="N117" s="5">
        <f t="shared" si="25"/>
        <v>32.049999999999997</v>
      </c>
      <c r="O117" s="1">
        <v>181</v>
      </c>
      <c r="P117">
        <f t="shared" si="26"/>
        <v>0.18099999999999999</v>
      </c>
      <c r="Q117" s="3" t="s">
        <v>173</v>
      </c>
      <c r="R117" t="str">
        <f t="shared" si="27"/>
        <v>05/07/2015</v>
      </c>
      <c r="S117">
        <f t="shared" si="28"/>
        <v>2015</v>
      </c>
      <c r="T117">
        <f t="shared" si="29"/>
        <v>7</v>
      </c>
      <c r="U117" t="str">
        <f t="shared" si="30"/>
        <v>07</v>
      </c>
      <c r="V117">
        <f t="shared" si="31"/>
        <v>5</v>
      </c>
      <c r="W117" t="str">
        <f t="shared" si="32"/>
        <v>05</v>
      </c>
      <c r="X117" t="str">
        <f t="shared" si="33"/>
        <v>https://api.geomagnetism.ga.gov.au/agrf?latd=-30&amp;latm=58&amp;lats=39.32&amp;lond=141&amp;lonm=28&amp;lons=32.05&amp;year=2015&amp;month=07&amp;day=05&amp;elev=0.181&amp;Ein=D&amp;Ein=d</v>
      </c>
    </row>
    <row r="118" spans="1:24" ht="17" x14ac:dyDescent="0.25">
      <c r="A118" s="1" t="s">
        <v>145</v>
      </c>
      <c r="B118" s="1">
        <v>-31.5273</v>
      </c>
      <c r="C118" s="1">
        <v>138.07481000000001</v>
      </c>
      <c r="D118" t="s">
        <v>718</v>
      </c>
      <c r="E118" t="s">
        <v>719</v>
      </c>
      <c r="F118" t="str">
        <f t="shared" si="17"/>
        <v>-31° 31' 38.28"</v>
      </c>
      <c r="G118" t="str">
        <f t="shared" si="18"/>
        <v>138° 4' 29.32"</v>
      </c>
      <c r="H118" s="5">
        <f t="shared" si="19"/>
        <v>31</v>
      </c>
      <c r="I118" s="5">
        <f t="shared" si="20"/>
        <v>-31</v>
      </c>
      <c r="J118" s="5">
        <f t="shared" si="21"/>
        <v>31</v>
      </c>
      <c r="K118" s="5">
        <f t="shared" si="22"/>
        <v>38.28</v>
      </c>
      <c r="L118" s="5">
        <f t="shared" si="23"/>
        <v>138</v>
      </c>
      <c r="M118" s="5">
        <f t="shared" si="24"/>
        <v>4</v>
      </c>
      <c r="N118" s="5">
        <f t="shared" si="25"/>
        <v>29.32</v>
      </c>
      <c r="O118" s="1">
        <v>39</v>
      </c>
      <c r="P118">
        <f t="shared" si="26"/>
        <v>3.9E-2</v>
      </c>
      <c r="Q118" s="3" t="s">
        <v>164</v>
      </c>
      <c r="R118" t="str">
        <f t="shared" si="27"/>
        <v>11/06/2015</v>
      </c>
      <c r="S118">
        <f t="shared" si="28"/>
        <v>2015</v>
      </c>
      <c r="T118">
        <f t="shared" si="29"/>
        <v>6</v>
      </c>
      <c r="U118" t="str">
        <f t="shared" si="30"/>
        <v>06</v>
      </c>
      <c r="V118">
        <f t="shared" si="31"/>
        <v>11</v>
      </c>
      <c r="W118" t="str">
        <f t="shared" si="32"/>
        <v>11</v>
      </c>
      <c r="X118" t="str">
        <f t="shared" si="33"/>
        <v>https://api.geomagnetism.ga.gov.au/agrf?latd=-31&amp;latm=31&amp;lats=38.28&amp;lond=138&amp;lonm=4&amp;lons=29.32&amp;year=2015&amp;month=06&amp;day=11&amp;elev=0.039&amp;Ein=D&amp;Ein=d</v>
      </c>
    </row>
    <row r="119" spans="1:24" ht="17" x14ac:dyDescent="0.25">
      <c r="A119" s="1" t="s">
        <v>146</v>
      </c>
      <c r="B119" s="1">
        <v>-31.49953</v>
      </c>
      <c r="C119" s="1">
        <v>140.00033999999999</v>
      </c>
      <c r="D119" t="s">
        <v>720</v>
      </c>
      <c r="E119" t="s">
        <v>721</v>
      </c>
      <c r="F119" t="str">
        <f t="shared" si="17"/>
        <v>-31° 29' 58.31"</v>
      </c>
      <c r="G119" t="str">
        <f t="shared" si="18"/>
        <v>140° 0' 1.22"</v>
      </c>
      <c r="H119" s="5">
        <f t="shared" si="19"/>
        <v>31</v>
      </c>
      <c r="I119" s="5">
        <f t="shared" si="20"/>
        <v>-31</v>
      </c>
      <c r="J119" s="5">
        <f t="shared" si="21"/>
        <v>29</v>
      </c>
      <c r="K119" s="5">
        <f t="shared" si="22"/>
        <v>58.31</v>
      </c>
      <c r="L119" s="5">
        <f t="shared" si="23"/>
        <v>140</v>
      </c>
      <c r="M119" s="5">
        <f t="shared" si="24"/>
        <v>0</v>
      </c>
      <c r="N119" s="5">
        <f t="shared" si="25"/>
        <v>1.22</v>
      </c>
      <c r="O119" s="1">
        <v>90</v>
      </c>
      <c r="P119">
        <f t="shared" si="26"/>
        <v>0.09</v>
      </c>
      <c r="Q119" s="3" t="s">
        <v>176</v>
      </c>
      <c r="R119" t="str">
        <f t="shared" si="27"/>
        <v>09/07/2015</v>
      </c>
      <c r="S119">
        <f t="shared" si="28"/>
        <v>2015</v>
      </c>
      <c r="T119">
        <f t="shared" si="29"/>
        <v>7</v>
      </c>
      <c r="U119" t="str">
        <f t="shared" si="30"/>
        <v>07</v>
      </c>
      <c r="V119">
        <f t="shared" si="31"/>
        <v>9</v>
      </c>
      <c r="W119" t="str">
        <f t="shared" si="32"/>
        <v>09</v>
      </c>
      <c r="X119" t="str">
        <f t="shared" si="33"/>
        <v>https://api.geomagnetism.ga.gov.au/agrf?latd=-31&amp;latm=29&amp;lats=58.31&amp;lond=140&amp;lonm=0&amp;lons=1.22&amp;year=2015&amp;month=07&amp;day=09&amp;elev=0.09&amp;Ein=D&amp;Ein=d</v>
      </c>
    </row>
    <row r="120" spans="1:24" ht="17" x14ac:dyDescent="0.25">
      <c r="A120" s="1" t="s">
        <v>147</v>
      </c>
      <c r="B120" s="1">
        <v>-31.538180000000001</v>
      </c>
      <c r="C120" s="1">
        <v>140.50268</v>
      </c>
      <c r="D120" t="s">
        <v>722</v>
      </c>
      <c r="E120" t="s">
        <v>723</v>
      </c>
      <c r="F120" t="str">
        <f t="shared" si="17"/>
        <v>-31° 32' 17.45"</v>
      </c>
      <c r="G120" t="str">
        <f t="shared" si="18"/>
        <v>140° 30' 9.65"</v>
      </c>
      <c r="H120" s="5">
        <f t="shared" si="19"/>
        <v>31</v>
      </c>
      <c r="I120" s="5">
        <f t="shared" si="20"/>
        <v>-31</v>
      </c>
      <c r="J120" s="5">
        <f t="shared" si="21"/>
        <v>32</v>
      </c>
      <c r="K120" s="5">
        <f t="shared" si="22"/>
        <v>17.45</v>
      </c>
      <c r="L120" s="5">
        <f t="shared" si="23"/>
        <v>140</v>
      </c>
      <c r="M120" s="5">
        <f t="shared" si="24"/>
        <v>30</v>
      </c>
      <c r="N120" s="5">
        <f t="shared" si="25"/>
        <v>9.65</v>
      </c>
      <c r="O120" s="1">
        <v>85</v>
      </c>
      <c r="P120">
        <f t="shared" si="26"/>
        <v>8.5000000000000006E-2</v>
      </c>
      <c r="Q120" s="3" t="s">
        <v>170</v>
      </c>
      <c r="R120" t="str">
        <f t="shared" si="27"/>
        <v>06/07/2015</v>
      </c>
      <c r="S120">
        <f t="shared" si="28"/>
        <v>2015</v>
      </c>
      <c r="T120">
        <f t="shared" si="29"/>
        <v>7</v>
      </c>
      <c r="U120" t="str">
        <f t="shared" si="30"/>
        <v>07</v>
      </c>
      <c r="V120">
        <f t="shared" si="31"/>
        <v>6</v>
      </c>
      <c r="W120" t="str">
        <f t="shared" si="32"/>
        <v>06</v>
      </c>
      <c r="X120" t="str">
        <f t="shared" si="33"/>
        <v>https://api.geomagnetism.ga.gov.au/agrf?latd=-31&amp;latm=32&amp;lats=17.45&amp;lond=140&amp;lonm=30&amp;lons=9.65&amp;year=2015&amp;month=07&amp;day=06&amp;elev=0.085&amp;Ein=D&amp;Ein=d</v>
      </c>
    </row>
    <row r="121" spans="1:24" ht="17" x14ac:dyDescent="0.25">
      <c r="A121" s="1" t="s">
        <v>148</v>
      </c>
      <c r="B121" s="1">
        <v>-31.498470000000001</v>
      </c>
      <c r="C121" s="1">
        <v>140.99982</v>
      </c>
      <c r="D121" t="s">
        <v>724</v>
      </c>
      <c r="E121" t="s">
        <v>725</v>
      </c>
      <c r="F121" t="str">
        <f t="shared" si="17"/>
        <v>-31° 29' 54.49"</v>
      </c>
      <c r="G121" t="str">
        <f t="shared" si="18"/>
        <v>140° 59' 59.35"</v>
      </c>
      <c r="H121" s="5">
        <f t="shared" si="19"/>
        <v>31</v>
      </c>
      <c r="I121" s="5">
        <f t="shared" si="20"/>
        <v>-31</v>
      </c>
      <c r="J121" s="5">
        <f t="shared" si="21"/>
        <v>29</v>
      </c>
      <c r="K121" s="5">
        <f t="shared" si="22"/>
        <v>54.49</v>
      </c>
      <c r="L121" s="5">
        <f t="shared" si="23"/>
        <v>140</v>
      </c>
      <c r="M121" s="5">
        <f t="shared" si="24"/>
        <v>59</v>
      </c>
      <c r="N121" s="5">
        <f t="shared" si="25"/>
        <v>59.35</v>
      </c>
      <c r="O121" s="1">
        <v>100</v>
      </c>
      <c r="P121">
        <f t="shared" si="26"/>
        <v>0.1</v>
      </c>
      <c r="Q121" s="3" t="s">
        <v>170</v>
      </c>
      <c r="R121" t="str">
        <f t="shared" si="27"/>
        <v>06/07/2015</v>
      </c>
      <c r="S121">
        <f t="shared" si="28"/>
        <v>2015</v>
      </c>
      <c r="T121">
        <f t="shared" si="29"/>
        <v>7</v>
      </c>
      <c r="U121" t="str">
        <f t="shared" si="30"/>
        <v>07</v>
      </c>
      <c r="V121">
        <f t="shared" si="31"/>
        <v>6</v>
      </c>
      <c r="W121" t="str">
        <f t="shared" si="32"/>
        <v>06</v>
      </c>
      <c r="X121" t="str">
        <f t="shared" si="33"/>
        <v>https://api.geomagnetism.ga.gov.au/agrf?latd=-31&amp;latm=29&amp;lats=54.49&amp;lond=140&amp;lonm=59&amp;lons=59.35&amp;year=2015&amp;month=07&amp;day=06&amp;elev=0.1&amp;Ein=D&amp;Ein=d</v>
      </c>
    </row>
    <row r="122" spans="1:24" ht="17" x14ac:dyDescent="0.25">
      <c r="A122" s="1" t="s">
        <v>149</v>
      </c>
      <c r="B122" s="1">
        <v>-31.47138</v>
      </c>
      <c r="C122" s="1">
        <v>141.51254</v>
      </c>
      <c r="D122" t="s">
        <v>726</v>
      </c>
      <c r="E122" t="s">
        <v>727</v>
      </c>
      <c r="F122" t="str">
        <f t="shared" si="17"/>
        <v>-31° 28' 16.97"</v>
      </c>
      <c r="G122" t="str">
        <f t="shared" si="18"/>
        <v>141° 30' 45.14"</v>
      </c>
      <c r="H122" s="5">
        <f t="shared" si="19"/>
        <v>31</v>
      </c>
      <c r="I122" s="5">
        <f t="shared" si="20"/>
        <v>-31</v>
      </c>
      <c r="J122" s="5">
        <f t="shared" si="21"/>
        <v>28</v>
      </c>
      <c r="K122" s="5">
        <f t="shared" si="22"/>
        <v>16.97</v>
      </c>
      <c r="L122" s="5">
        <f t="shared" si="23"/>
        <v>141</v>
      </c>
      <c r="M122" s="5">
        <f t="shared" si="24"/>
        <v>30</v>
      </c>
      <c r="N122" s="5">
        <f t="shared" si="25"/>
        <v>45.14</v>
      </c>
      <c r="O122" s="1">
        <v>194</v>
      </c>
      <c r="P122">
        <f t="shared" si="26"/>
        <v>0.19400000000000001</v>
      </c>
      <c r="Q122" s="3" t="s">
        <v>175</v>
      </c>
      <c r="R122" t="str">
        <f t="shared" si="27"/>
        <v>08/07/2015</v>
      </c>
      <c r="S122">
        <f t="shared" si="28"/>
        <v>2015</v>
      </c>
      <c r="T122">
        <f t="shared" si="29"/>
        <v>7</v>
      </c>
      <c r="U122" t="str">
        <f t="shared" si="30"/>
        <v>07</v>
      </c>
      <c r="V122">
        <f t="shared" si="31"/>
        <v>8</v>
      </c>
      <c r="W122" t="str">
        <f t="shared" si="32"/>
        <v>08</v>
      </c>
      <c r="X122" t="str">
        <f t="shared" si="33"/>
        <v>https://api.geomagnetism.ga.gov.au/agrf?latd=-31&amp;latm=28&amp;lats=16.97&amp;lond=141&amp;lonm=30&amp;lons=45.14&amp;year=2015&amp;month=07&amp;day=08&amp;elev=0.194&amp;Ein=D&amp;Ein=d</v>
      </c>
    </row>
    <row r="123" spans="1:24" ht="17" x14ac:dyDescent="0.25">
      <c r="A123" s="1" t="s">
        <v>150</v>
      </c>
      <c r="B123" s="1">
        <v>-31.999469999999999</v>
      </c>
      <c r="C123" s="1">
        <v>140.99979999999999</v>
      </c>
      <c r="D123" t="s">
        <v>728</v>
      </c>
      <c r="E123" t="s">
        <v>729</v>
      </c>
      <c r="F123" t="str">
        <f t="shared" si="17"/>
        <v>-31° 59' 58.09"</v>
      </c>
      <c r="G123" t="str">
        <f t="shared" si="18"/>
        <v>140° 59' 59.28"</v>
      </c>
      <c r="H123" s="5">
        <f t="shared" si="19"/>
        <v>31</v>
      </c>
      <c r="I123" s="5">
        <f t="shared" si="20"/>
        <v>-31</v>
      </c>
      <c r="J123" s="5">
        <f t="shared" si="21"/>
        <v>59</v>
      </c>
      <c r="K123" s="5">
        <f t="shared" si="22"/>
        <v>58.09</v>
      </c>
      <c r="L123" s="5">
        <f t="shared" si="23"/>
        <v>140</v>
      </c>
      <c r="M123" s="5">
        <f t="shared" si="24"/>
        <v>59</v>
      </c>
      <c r="N123" s="5">
        <f t="shared" si="25"/>
        <v>59.28</v>
      </c>
      <c r="O123" s="1">
        <v>182</v>
      </c>
      <c r="P123">
        <f t="shared" si="26"/>
        <v>0.182</v>
      </c>
      <c r="Q123" s="3" t="s">
        <v>177</v>
      </c>
      <c r="R123" t="str">
        <f t="shared" si="27"/>
        <v>04/07/2015</v>
      </c>
      <c r="S123">
        <f t="shared" si="28"/>
        <v>2015</v>
      </c>
      <c r="T123">
        <f t="shared" si="29"/>
        <v>7</v>
      </c>
      <c r="U123" t="str">
        <f t="shared" si="30"/>
        <v>07</v>
      </c>
      <c r="V123">
        <f t="shared" si="31"/>
        <v>4</v>
      </c>
      <c r="W123" t="str">
        <f t="shared" si="32"/>
        <v>04</v>
      </c>
      <c r="X123" t="str">
        <f t="shared" si="33"/>
        <v>https://api.geomagnetism.ga.gov.au/agrf?latd=-31&amp;latm=59&amp;lats=58.09&amp;lond=140&amp;lonm=59&amp;lons=59.28&amp;year=2015&amp;month=07&amp;day=04&amp;elev=0.182&amp;Ein=D&amp;Ein=d</v>
      </c>
    </row>
    <row r="124" spans="1:24" ht="17" x14ac:dyDescent="0.25">
      <c r="A124" s="1" t="s">
        <v>193</v>
      </c>
      <c r="B124" s="1">
        <v>-31.99053</v>
      </c>
      <c r="C124" s="1">
        <v>141.54335</v>
      </c>
      <c r="D124" t="s">
        <v>730</v>
      </c>
      <c r="E124" t="s">
        <v>731</v>
      </c>
      <c r="F124" t="str">
        <f t="shared" si="17"/>
        <v>-31° 59' 25.91"</v>
      </c>
      <c r="G124" t="str">
        <f t="shared" si="18"/>
        <v>141° 32' 36.06"</v>
      </c>
      <c r="H124" s="5">
        <f t="shared" si="19"/>
        <v>31</v>
      </c>
      <c r="I124" s="5">
        <f t="shared" si="20"/>
        <v>-31</v>
      </c>
      <c r="J124" s="5">
        <f t="shared" si="21"/>
        <v>59</v>
      </c>
      <c r="K124" s="5">
        <f t="shared" si="22"/>
        <v>25.91</v>
      </c>
      <c r="L124" s="5">
        <f t="shared" si="23"/>
        <v>141</v>
      </c>
      <c r="M124" s="5">
        <f t="shared" si="24"/>
        <v>32</v>
      </c>
      <c r="N124" s="5">
        <f t="shared" si="25"/>
        <v>36.06</v>
      </c>
      <c r="O124" s="1">
        <v>293</v>
      </c>
      <c r="P124">
        <f t="shared" si="26"/>
        <v>0.29299999999999998</v>
      </c>
      <c r="Q124" s="3" t="s">
        <v>178</v>
      </c>
      <c r="R124" t="str">
        <f t="shared" si="27"/>
        <v>19/06/2015</v>
      </c>
      <c r="S124">
        <f t="shared" si="28"/>
        <v>2015</v>
      </c>
      <c r="T124">
        <f t="shared" si="29"/>
        <v>6</v>
      </c>
      <c r="U124" t="str">
        <f t="shared" si="30"/>
        <v>06</v>
      </c>
      <c r="V124">
        <f t="shared" si="31"/>
        <v>19</v>
      </c>
      <c r="W124" t="str">
        <f t="shared" si="32"/>
        <v>19</v>
      </c>
      <c r="X124" t="str">
        <f t="shared" si="33"/>
        <v>https://api.geomagnetism.ga.gov.au/agrf?latd=-31&amp;latm=59&amp;lats=25.91&amp;lond=141&amp;lonm=32&amp;lons=36.06&amp;year=2015&amp;month=06&amp;day=19&amp;elev=0.293&amp;Ein=D&amp;Ein=d</v>
      </c>
    </row>
    <row r="125" spans="1:24" ht="17" x14ac:dyDescent="0.25">
      <c r="A125" s="1" t="s">
        <v>151</v>
      </c>
      <c r="B125" s="1">
        <v>-32.467790000000001</v>
      </c>
      <c r="C125" s="1">
        <v>141.00035</v>
      </c>
      <c r="D125" t="s">
        <v>732</v>
      </c>
      <c r="E125" t="s">
        <v>733</v>
      </c>
      <c r="F125" t="str">
        <f t="shared" si="17"/>
        <v>-32° 28' 4.04"</v>
      </c>
      <c r="G125" t="str">
        <f t="shared" si="18"/>
        <v>141° 0' 1.26"</v>
      </c>
      <c r="H125" s="5">
        <f t="shared" si="19"/>
        <v>32</v>
      </c>
      <c r="I125" s="5">
        <f t="shared" si="20"/>
        <v>-32</v>
      </c>
      <c r="J125" s="5">
        <f t="shared" si="21"/>
        <v>28</v>
      </c>
      <c r="K125" s="5">
        <f t="shared" si="22"/>
        <v>4.04</v>
      </c>
      <c r="L125" s="5">
        <f t="shared" si="23"/>
        <v>141</v>
      </c>
      <c r="M125" s="5">
        <f t="shared" si="24"/>
        <v>0</v>
      </c>
      <c r="N125" s="5">
        <f t="shared" si="25"/>
        <v>1.26</v>
      </c>
      <c r="O125" s="1">
        <v>178</v>
      </c>
      <c r="P125">
        <f t="shared" ref="P125:P180" si="34">O125/1000</f>
        <v>0.17799999999999999</v>
      </c>
      <c r="Q125" s="3" t="s">
        <v>173</v>
      </c>
      <c r="R125" t="str">
        <f t="shared" ref="R125:R180" si="35">TEXT(DATEVALUE(LEFT(Q125,10)), "dd/mm/yyyy")</f>
        <v>05/07/2015</v>
      </c>
      <c r="S125">
        <f t="shared" si="28"/>
        <v>2015</v>
      </c>
      <c r="T125">
        <f t="shared" si="29"/>
        <v>7</v>
      </c>
      <c r="U125" t="str">
        <f t="shared" si="30"/>
        <v>07</v>
      </c>
      <c r="V125">
        <f t="shared" si="31"/>
        <v>5</v>
      </c>
      <c r="W125" t="str">
        <f t="shared" si="32"/>
        <v>05</v>
      </c>
      <c r="X125" t="str">
        <f t="shared" si="33"/>
        <v>https://api.geomagnetism.ga.gov.au/agrf?latd=-32&amp;latm=28&amp;lats=4.04&amp;lond=141&amp;lonm=0&amp;lons=1.26&amp;year=2015&amp;month=07&amp;day=05&amp;elev=0.178&amp;Ein=D&amp;Ein=d</v>
      </c>
    </row>
    <row r="126" spans="1:24" ht="17" x14ac:dyDescent="0.25">
      <c r="A126" s="1" t="s">
        <v>152</v>
      </c>
      <c r="B126" s="1">
        <v>-32.54204</v>
      </c>
      <c r="C126" s="1">
        <v>141.46790999999999</v>
      </c>
      <c r="D126" t="s">
        <v>734</v>
      </c>
      <c r="E126" t="s">
        <v>735</v>
      </c>
      <c r="F126" t="str">
        <f t="shared" si="17"/>
        <v>-32° 32' 31.34"</v>
      </c>
      <c r="G126" t="str">
        <f t="shared" si="18"/>
        <v>141° 28' 4.48"</v>
      </c>
      <c r="H126" s="5">
        <f t="shared" si="19"/>
        <v>32</v>
      </c>
      <c r="I126" s="5">
        <f t="shared" si="20"/>
        <v>-32</v>
      </c>
      <c r="J126" s="5">
        <f t="shared" si="21"/>
        <v>32</v>
      </c>
      <c r="K126" s="5">
        <f t="shared" si="22"/>
        <v>31.34</v>
      </c>
      <c r="L126" s="5">
        <f t="shared" si="23"/>
        <v>141</v>
      </c>
      <c r="M126" s="5">
        <f t="shared" si="24"/>
        <v>28</v>
      </c>
      <c r="N126" s="5">
        <f t="shared" si="25"/>
        <v>4.4800000000000004</v>
      </c>
      <c r="O126" s="1">
        <v>120</v>
      </c>
      <c r="P126">
        <f t="shared" si="34"/>
        <v>0.12</v>
      </c>
      <c r="Q126" s="3" t="s">
        <v>177</v>
      </c>
      <c r="R126" t="str">
        <f t="shared" si="35"/>
        <v>04/07/2015</v>
      </c>
      <c r="S126">
        <f t="shared" si="28"/>
        <v>2015</v>
      </c>
      <c r="T126">
        <f t="shared" si="29"/>
        <v>7</v>
      </c>
      <c r="U126" t="str">
        <f t="shared" si="30"/>
        <v>07</v>
      </c>
      <c r="V126">
        <f t="shared" si="31"/>
        <v>4</v>
      </c>
      <c r="W126" t="str">
        <f t="shared" si="32"/>
        <v>04</v>
      </c>
      <c r="X126" t="str">
        <f t="shared" si="33"/>
        <v>https://api.geomagnetism.ga.gov.au/agrf?latd=-32&amp;latm=32&amp;lats=31.34&amp;lond=141&amp;lonm=28&amp;lons=4.48&amp;year=2015&amp;month=07&amp;day=04&amp;elev=0.12&amp;Ein=D&amp;Ein=d</v>
      </c>
    </row>
    <row r="127" spans="1:24" ht="17" x14ac:dyDescent="0.25">
      <c r="A127" s="1" t="s">
        <v>153</v>
      </c>
      <c r="B127" s="1">
        <v>-32.988999999999997</v>
      </c>
      <c r="C127" s="1">
        <v>141</v>
      </c>
      <c r="D127" t="s">
        <v>736</v>
      </c>
      <c r="E127" t="s">
        <v>737</v>
      </c>
      <c r="F127" t="str">
        <f t="shared" si="17"/>
        <v>-32° 59' 20.40"</v>
      </c>
      <c r="G127" t="str">
        <f t="shared" si="18"/>
        <v>141° 0' 0.00"</v>
      </c>
      <c r="H127" s="5">
        <f t="shared" si="19"/>
        <v>32</v>
      </c>
      <c r="I127" s="5">
        <f t="shared" si="20"/>
        <v>-32</v>
      </c>
      <c r="J127" s="5">
        <f t="shared" si="21"/>
        <v>59</v>
      </c>
      <c r="K127" s="5">
        <f t="shared" si="22"/>
        <v>20.399999999999999</v>
      </c>
      <c r="L127" s="5">
        <f t="shared" si="23"/>
        <v>141</v>
      </c>
      <c r="M127" s="5">
        <f t="shared" si="24"/>
        <v>0</v>
      </c>
      <c r="N127" s="5">
        <f t="shared" si="25"/>
        <v>0</v>
      </c>
      <c r="O127" s="1">
        <v>74</v>
      </c>
      <c r="P127">
        <f t="shared" si="34"/>
        <v>7.3999999999999996E-2</v>
      </c>
      <c r="Q127" s="3" t="s">
        <v>179</v>
      </c>
      <c r="R127" t="str">
        <f t="shared" si="35"/>
        <v>07/07/2015</v>
      </c>
      <c r="S127">
        <f t="shared" si="28"/>
        <v>2015</v>
      </c>
      <c r="T127">
        <f t="shared" si="29"/>
        <v>7</v>
      </c>
      <c r="U127" t="str">
        <f t="shared" si="30"/>
        <v>07</v>
      </c>
      <c r="V127">
        <f t="shared" si="31"/>
        <v>7</v>
      </c>
      <c r="W127" t="str">
        <f t="shared" si="32"/>
        <v>07</v>
      </c>
      <c r="X127" t="str">
        <f t="shared" si="33"/>
        <v>https://api.geomagnetism.ga.gov.au/agrf?latd=-32&amp;latm=59&amp;lats=20.4&amp;lond=141&amp;lonm=0&amp;lons=0&amp;year=2015&amp;month=07&amp;day=07&amp;elev=0.074&amp;Ein=D&amp;Ein=d</v>
      </c>
    </row>
    <row r="128" spans="1:24" ht="17" x14ac:dyDescent="0.25">
      <c r="A128" s="1" t="s">
        <v>194</v>
      </c>
      <c r="B128" s="1">
        <v>-32.993720000000003</v>
      </c>
      <c r="C128" s="1">
        <v>141.51005000000001</v>
      </c>
      <c r="D128" t="s">
        <v>738</v>
      </c>
      <c r="E128" t="s">
        <v>739</v>
      </c>
      <c r="F128" t="str">
        <f t="shared" si="17"/>
        <v>-32° 59' 37.39"</v>
      </c>
      <c r="G128" t="str">
        <f t="shared" si="18"/>
        <v>141° 30' 36.18"</v>
      </c>
      <c r="H128" s="5">
        <f t="shared" si="19"/>
        <v>32</v>
      </c>
      <c r="I128" s="5">
        <f t="shared" si="20"/>
        <v>-32</v>
      </c>
      <c r="J128" s="5">
        <f t="shared" si="21"/>
        <v>59</v>
      </c>
      <c r="K128" s="5">
        <f t="shared" si="22"/>
        <v>37.39</v>
      </c>
      <c r="L128" s="5">
        <f t="shared" si="23"/>
        <v>141</v>
      </c>
      <c r="M128" s="5">
        <f t="shared" si="24"/>
        <v>30</v>
      </c>
      <c r="N128" s="5">
        <f t="shared" si="25"/>
        <v>36.18</v>
      </c>
      <c r="O128" s="1">
        <v>50</v>
      </c>
      <c r="P128">
        <f t="shared" si="34"/>
        <v>0.05</v>
      </c>
      <c r="Q128" s="3" t="s">
        <v>178</v>
      </c>
      <c r="R128" t="str">
        <f t="shared" si="35"/>
        <v>19/06/2015</v>
      </c>
      <c r="S128">
        <f t="shared" si="28"/>
        <v>2015</v>
      </c>
      <c r="T128">
        <f t="shared" si="29"/>
        <v>6</v>
      </c>
      <c r="U128" t="str">
        <f t="shared" si="30"/>
        <v>06</v>
      </c>
      <c r="V128">
        <f t="shared" si="31"/>
        <v>19</v>
      </c>
      <c r="W128" t="str">
        <f t="shared" si="32"/>
        <v>19</v>
      </c>
      <c r="X128" t="str">
        <f t="shared" si="33"/>
        <v>https://api.geomagnetism.ga.gov.au/agrf?latd=-32&amp;latm=59&amp;lats=37.39&amp;lond=141&amp;lonm=30&amp;lons=36.18&amp;year=2015&amp;month=06&amp;day=19&amp;elev=0.05&amp;Ein=D&amp;Ein=d</v>
      </c>
    </row>
    <row r="129" spans="1:24" ht="17" x14ac:dyDescent="0.25">
      <c r="A129" s="1" t="s">
        <v>154</v>
      </c>
      <c r="B129" s="1">
        <v>-33.542769999999997</v>
      </c>
      <c r="C129" s="1">
        <v>140.46967000000001</v>
      </c>
      <c r="D129" t="s">
        <v>740</v>
      </c>
      <c r="E129" t="s">
        <v>741</v>
      </c>
      <c r="F129" t="str">
        <f t="shared" si="17"/>
        <v>-33° 32' 33.97"</v>
      </c>
      <c r="G129" t="str">
        <f t="shared" si="18"/>
        <v>140° 28' 10.81"</v>
      </c>
      <c r="H129" s="5">
        <f t="shared" si="19"/>
        <v>33</v>
      </c>
      <c r="I129" s="5">
        <f t="shared" si="20"/>
        <v>-33</v>
      </c>
      <c r="J129" s="5">
        <f t="shared" si="21"/>
        <v>32</v>
      </c>
      <c r="K129" s="5">
        <f t="shared" si="22"/>
        <v>33.97</v>
      </c>
      <c r="L129" s="5">
        <f t="shared" si="23"/>
        <v>140</v>
      </c>
      <c r="M129" s="5">
        <f t="shared" si="24"/>
        <v>28</v>
      </c>
      <c r="N129" s="5">
        <f t="shared" si="25"/>
        <v>10.81</v>
      </c>
      <c r="O129" s="1">
        <v>65</v>
      </c>
      <c r="P129">
        <f t="shared" si="34"/>
        <v>6.5000000000000002E-2</v>
      </c>
      <c r="Q129" s="3" t="s">
        <v>176</v>
      </c>
      <c r="R129" t="str">
        <f t="shared" si="35"/>
        <v>09/07/2015</v>
      </c>
      <c r="S129">
        <f t="shared" si="28"/>
        <v>2015</v>
      </c>
      <c r="T129">
        <f t="shared" si="29"/>
        <v>7</v>
      </c>
      <c r="U129" t="str">
        <f t="shared" si="30"/>
        <v>07</v>
      </c>
      <c r="V129">
        <f t="shared" si="31"/>
        <v>9</v>
      </c>
      <c r="W129" t="str">
        <f t="shared" si="32"/>
        <v>09</v>
      </c>
      <c r="X129" t="str">
        <f t="shared" si="33"/>
        <v>https://api.geomagnetism.ga.gov.au/agrf?latd=-33&amp;latm=32&amp;lats=33.97&amp;lond=140&amp;lonm=28&amp;lons=10.81&amp;year=2015&amp;month=07&amp;day=09&amp;elev=0.065&amp;Ein=D&amp;Ein=d</v>
      </c>
    </row>
    <row r="130" spans="1:24" ht="17" x14ac:dyDescent="0.25">
      <c r="A130" s="1" t="s">
        <v>155</v>
      </c>
      <c r="B130" s="1">
        <v>-33.491399999999999</v>
      </c>
      <c r="C130" s="1">
        <v>141.00149999999999</v>
      </c>
      <c r="D130" t="s">
        <v>742</v>
      </c>
      <c r="E130" t="s">
        <v>743</v>
      </c>
      <c r="F130" t="str">
        <f t="shared" si="17"/>
        <v>-33° 29' 29.04"</v>
      </c>
      <c r="G130" t="str">
        <f t="shared" si="18"/>
        <v>141° 0' 5.40"</v>
      </c>
      <c r="H130" s="5">
        <f t="shared" si="19"/>
        <v>33</v>
      </c>
      <c r="I130" s="5">
        <f t="shared" si="20"/>
        <v>-33</v>
      </c>
      <c r="J130" s="5">
        <f t="shared" si="21"/>
        <v>29</v>
      </c>
      <c r="K130" s="5">
        <f t="shared" si="22"/>
        <v>29.04</v>
      </c>
      <c r="L130" s="5">
        <f t="shared" si="23"/>
        <v>141</v>
      </c>
      <c r="M130" s="5">
        <f t="shared" si="24"/>
        <v>0</v>
      </c>
      <c r="N130" s="5">
        <f t="shared" si="25"/>
        <v>5.4</v>
      </c>
      <c r="O130" s="1">
        <v>43</v>
      </c>
      <c r="P130">
        <f t="shared" si="34"/>
        <v>4.2999999999999997E-2</v>
      </c>
      <c r="Q130" s="3" t="s">
        <v>180</v>
      </c>
      <c r="R130" t="str">
        <f t="shared" si="35"/>
        <v>10/07/2015</v>
      </c>
      <c r="S130">
        <f t="shared" si="28"/>
        <v>2015</v>
      </c>
      <c r="T130">
        <f t="shared" si="29"/>
        <v>7</v>
      </c>
      <c r="U130" t="str">
        <f t="shared" si="30"/>
        <v>07</v>
      </c>
      <c r="V130">
        <f t="shared" si="31"/>
        <v>10</v>
      </c>
      <c r="W130" t="str">
        <f t="shared" si="32"/>
        <v>10</v>
      </c>
      <c r="X130" t="str">
        <f t="shared" si="33"/>
        <v>https://api.geomagnetism.ga.gov.au/agrf?latd=-33&amp;latm=29&amp;lats=29.04&amp;lond=141&amp;lonm=0&amp;lons=5.4&amp;year=2015&amp;month=07&amp;day=10&amp;elev=0.043&amp;Ein=D&amp;Ein=d</v>
      </c>
    </row>
    <row r="131" spans="1:24" ht="17" x14ac:dyDescent="0.25">
      <c r="A131" s="1" t="s">
        <v>156</v>
      </c>
      <c r="B131" s="1">
        <v>-33.49633</v>
      </c>
      <c r="C131" s="1">
        <v>141.47046</v>
      </c>
      <c r="D131" t="s">
        <v>744</v>
      </c>
      <c r="E131" t="s">
        <v>745</v>
      </c>
      <c r="F131" t="str">
        <f t="shared" ref="F131:F194" si="36">SUBSTITUTE(D131,"¬∞","°")</f>
        <v>-33° 29' 46.79"</v>
      </c>
      <c r="G131" t="str">
        <f t="shared" ref="G131:G194" si="37">SUBSTITUTE(E131,"¬∞","°")</f>
        <v>141° 28' 13.66"</v>
      </c>
      <c r="H131" s="5">
        <f t="shared" ref="H131:H194" si="38">IF(LEFT(F131,1)="-", -1, 1) * VALUE(LEFT(F131, FIND("°", F131)-1))</f>
        <v>33</v>
      </c>
      <c r="I131" s="5">
        <f t="shared" ref="I131:I194" si="39">-H131</f>
        <v>-33</v>
      </c>
      <c r="J131" s="5">
        <f t="shared" ref="J131:J194" si="40">VALUE(MID(F131, FIND("°",F131)+2, FIND("'",F131)-FIND("°", F131)-2))</f>
        <v>29</v>
      </c>
      <c r="K131" s="5">
        <f t="shared" ref="K131:K194" si="41">VALUE(MID(F131, FIND("'", F131)+2, FIND("""", F131)-FIND("'", F131)-2))</f>
        <v>46.79</v>
      </c>
      <c r="L131" s="5">
        <f t="shared" ref="L131:L194" si="42">IF(LEFT(G131,1)="-", -1, 1) * VALUE(LEFT(G131, FIND("°", G131)-1))</f>
        <v>141</v>
      </c>
      <c r="M131" s="5">
        <f t="shared" ref="M131:M194" si="43">VALUE(MID(G131, FIND("°",G131)+2, FIND("'",G131)-FIND("°", G131)-2))</f>
        <v>28</v>
      </c>
      <c r="N131" s="5">
        <f t="shared" ref="N131:N194" si="44">VALUE(MID(G131, FIND("'", G131)+2, FIND("""",G131)-FIND("'", G131)-2))</f>
        <v>13.66</v>
      </c>
      <c r="O131" s="1">
        <v>40</v>
      </c>
      <c r="P131">
        <f t="shared" si="34"/>
        <v>0.04</v>
      </c>
      <c r="Q131" s="3" t="s">
        <v>181</v>
      </c>
      <c r="R131" t="str">
        <f t="shared" si="35"/>
        <v>03/07/2015</v>
      </c>
      <c r="S131">
        <f t="shared" ref="S131:S194" si="45">YEAR(R131)</f>
        <v>2015</v>
      </c>
      <c r="T131">
        <f t="shared" ref="T131:T194" si="46">MONTH(R131)</f>
        <v>7</v>
      </c>
      <c r="U131" t="str">
        <f t="shared" ref="U131:U194" si="47">TEXT(T131, "00")</f>
        <v>07</v>
      </c>
      <c r="V131">
        <f t="shared" ref="V131:V194" si="48">DAY(R131)</f>
        <v>3</v>
      </c>
      <c r="W131" t="str">
        <f t="shared" ref="W131:W194" si="49">TEXT(V131,"00")</f>
        <v>03</v>
      </c>
      <c r="X131" t="str">
        <f t="shared" ref="X131:X194" si="50">CONCATENATE(
    "https://api.geomagnetism.ga.gov.au/agrf?",
    "latd=", I131,
    "&amp;latm=", J131,
    "&amp;lats=", K131,
    "&amp;lond=", L131,
    "&amp;lonm=", M131,
    "&amp;lons=", N131,
    "&amp;year=", S131,
    "&amp;month=", U131,
    "&amp;day=", W131,
    "&amp;elev=", P131,
    "&amp;Ein=D",
    "&amp;Ein=d"
)</f>
        <v>https://api.geomagnetism.ga.gov.au/agrf?latd=-33&amp;latm=29&amp;lats=46.79&amp;lond=141&amp;lonm=28&amp;lons=13.66&amp;year=2015&amp;month=07&amp;day=03&amp;elev=0.04&amp;Ein=D&amp;Ein=d</v>
      </c>
    </row>
    <row r="132" spans="1:24" ht="17" x14ac:dyDescent="0.25">
      <c r="A132" s="1" t="s">
        <v>195</v>
      </c>
      <c r="B132" s="1">
        <v>-34.003770000000003</v>
      </c>
      <c r="C132" s="1">
        <v>138.99857</v>
      </c>
      <c r="D132" t="s">
        <v>746</v>
      </c>
      <c r="E132" t="s">
        <v>747</v>
      </c>
      <c r="F132" t="str">
        <f t="shared" si="36"/>
        <v>-34° 0' 13.57"</v>
      </c>
      <c r="G132" t="str">
        <f t="shared" si="37"/>
        <v>138° 59' 54.85"</v>
      </c>
      <c r="H132" s="5">
        <f t="shared" si="38"/>
        <v>34</v>
      </c>
      <c r="I132" s="5">
        <f t="shared" si="39"/>
        <v>-34</v>
      </c>
      <c r="J132" s="5">
        <f t="shared" si="40"/>
        <v>0</v>
      </c>
      <c r="K132" s="5">
        <f t="shared" si="41"/>
        <v>13.57</v>
      </c>
      <c r="L132" s="5">
        <f t="shared" si="42"/>
        <v>138</v>
      </c>
      <c r="M132" s="5">
        <f t="shared" si="43"/>
        <v>59</v>
      </c>
      <c r="N132" s="5">
        <f t="shared" si="44"/>
        <v>54.85</v>
      </c>
      <c r="O132" s="1">
        <v>482</v>
      </c>
      <c r="P132">
        <f t="shared" si="34"/>
        <v>0.48199999999999998</v>
      </c>
      <c r="Q132" s="3" t="s">
        <v>182</v>
      </c>
      <c r="R132" t="str">
        <f t="shared" si="35"/>
        <v>24/06/2015</v>
      </c>
      <c r="S132">
        <f t="shared" si="45"/>
        <v>2015</v>
      </c>
      <c r="T132">
        <f t="shared" si="46"/>
        <v>6</v>
      </c>
      <c r="U132" t="str">
        <f t="shared" si="47"/>
        <v>06</v>
      </c>
      <c r="V132">
        <f t="shared" si="48"/>
        <v>24</v>
      </c>
      <c r="W132" t="str">
        <f t="shared" si="49"/>
        <v>24</v>
      </c>
      <c r="X132" t="str">
        <f t="shared" si="50"/>
        <v>https://api.geomagnetism.ga.gov.au/agrf?latd=-34&amp;latm=0&amp;lats=13.57&amp;lond=138&amp;lonm=59&amp;lons=54.85&amp;year=2015&amp;month=06&amp;day=24&amp;elev=0.482&amp;Ein=D&amp;Ein=d</v>
      </c>
    </row>
    <row r="133" spans="1:24" ht="17" x14ac:dyDescent="0.25">
      <c r="A133" s="1" t="s">
        <v>157</v>
      </c>
      <c r="B133" s="1">
        <v>-34.008800000000001</v>
      </c>
      <c r="C133" s="1">
        <v>139.00318999999999</v>
      </c>
      <c r="D133" t="s">
        <v>748</v>
      </c>
      <c r="E133" t="s">
        <v>749</v>
      </c>
      <c r="F133" t="str">
        <f t="shared" si="36"/>
        <v>-34° 0' 31.68"</v>
      </c>
      <c r="G133" t="str">
        <f t="shared" si="37"/>
        <v>139° 0' 11.48"</v>
      </c>
      <c r="H133" s="5">
        <f t="shared" si="38"/>
        <v>34</v>
      </c>
      <c r="I133" s="5">
        <f t="shared" si="39"/>
        <v>-34</v>
      </c>
      <c r="J133" s="5">
        <f t="shared" si="40"/>
        <v>0</v>
      </c>
      <c r="K133" s="5">
        <f t="shared" si="41"/>
        <v>31.68</v>
      </c>
      <c r="L133" s="5">
        <f t="shared" si="42"/>
        <v>139</v>
      </c>
      <c r="M133" s="5">
        <f t="shared" si="43"/>
        <v>0</v>
      </c>
      <c r="N133" s="5">
        <f t="shared" si="44"/>
        <v>11.48</v>
      </c>
      <c r="O133" s="1">
        <v>432</v>
      </c>
      <c r="P133">
        <f t="shared" si="34"/>
        <v>0.432</v>
      </c>
      <c r="Q133" s="3" t="s">
        <v>183</v>
      </c>
      <c r="R133" t="str">
        <f t="shared" si="35"/>
        <v>02/08/2015</v>
      </c>
      <c r="S133">
        <f t="shared" si="45"/>
        <v>2015</v>
      </c>
      <c r="T133">
        <f t="shared" si="46"/>
        <v>8</v>
      </c>
      <c r="U133" t="str">
        <f t="shared" si="47"/>
        <v>08</v>
      </c>
      <c r="V133">
        <f t="shared" si="48"/>
        <v>2</v>
      </c>
      <c r="W133" t="str">
        <f t="shared" si="49"/>
        <v>02</v>
      </c>
      <c r="X133" t="str">
        <f t="shared" si="50"/>
        <v>https://api.geomagnetism.ga.gov.au/agrf?latd=-34&amp;latm=0&amp;lats=31.68&amp;lond=139&amp;lonm=0&amp;lons=11.48&amp;year=2015&amp;month=08&amp;day=02&amp;elev=0.432&amp;Ein=D&amp;Ein=d</v>
      </c>
    </row>
    <row r="134" spans="1:24" ht="17" x14ac:dyDescent="0.25">
      <c r="A134" s="1" t="s">
        <v>196</v>
      </c>
      <c r="B134" s="1">
        <v>-34.010539999999999</v>
      </c>
      <c r="C134" s="1">
        <v>139.52402000000001</v>
      </c>
      <c r="D134" t="s">
        <v>750</v>
      </c>
      <c r="E134" t="s">
        <v>751</v>
      </c>
      <c r="F134" t="str">
        <f t="shared" si="36"/>
        <v>-34° 0' 37.94"</v>
      </c>
      <c r="G134" t="str">
        <f t="shared" si="37"/>
        <v>139° 31' 26.47"</v>
      </c>
      <c r="H134" s="5">
        <f t="shared" si="38"/>
        <v>34</v>
      </c>
      <c r="I134" s="5">
        <f t="shared" si="39"/>
        <v>-34</v>
      </c>
      <c r="J134" s="5">
        <f t="shared" si="40"/>
        <v>0</v>
      </c>
      <c r="K134" s="5">
        <f t="shared" si="41"/>
        <v>37.94</v>
      </c>
      <c r="L134" s="5">
        <f t="shared" si="42"/>
        <v>139</v>
      </c>
      <c r="M134" s="5">
        <f t="shared" si="43"/>
        <v>31</v>
      </c>
      <c r="N134" s="5">
        <f t="shared" si="44"/>
        <v>26.47</v>
      </c>
      <c r="O134" s="1">
        <v>76</v>
      </c>
      <c r="P134">
        <f t="shared" si="34"/>
        <v>7.5999999999999998E-2</v>
      </c>
      <c r="Q134" s="3" t="s">
        <v>182</v>
      </c>
      <c r="R134" t="str">
        <f t="shared" si="35"/>
        <v>24/06/2015</v>
      </c>
      <c r="S134">
        <f t="shared" si="45"/>
        <v>2015</v>
      </c>
      <c r="T134">
        <f t="shared" si="46"/>
        <v>6</v>
      </c>
      <c r="U134" t="str">
        <f t="shared" si="47"/>
        <v>06</v>
      </c>
      <c r="V134">
        <f t="shared" si="48"/>
        <v>24</v>
      </c>
      <c r="W134" t="str">
        <f t="shared" si="49"/>
        <v>24</v>
      </c>
      <c r="X134" t="str">
        <f t="shared" si="50"/>
        <v>https://api.geomagnetism.ga.gov.au/agrf?latd=-34&amp;latm=0&amp;lats=37.94&amp;lond=139&amp;lonm=31&amp;lons=26.47&amp;year=2015&amp;month=06&amp;day=24&amp;elev=0.076&amp;Ein=D&amp;Ein=d</v>
      </c>
    </row>
    <row r="135" spans="1:24" ht="17" x14ac:dyDescent="0.25">
      <c r="A135" s="1" t="s">
        <v>158</v>
      </c>
      <c r="B135" s="1">
        <v>-34.019219999999997</v>
      </c>
      <c r="C135" s="1">
        <v>139.98794000000001</v>
      </c>
      <c r="D135" t="s">
        <v>752</v>
      </c>
      <c r="E135" t="s">
        <v>753</v>
      </c>
      <c r="F135" t="str">
        <f t="shared" si="36"/>
        <v>-34° 1' 9.19"</v>
      </c>
      <c r="G135" t="str">
        <f t="shared" si="37"/>
        <v>139° 59' 16.58"</v>
      </c>
      <c r="H135" s="5">
        <f t="shared" si="38"/>
        <v>34</v>
      </c>
      <c r="I135" s="5">
        <f t="shared" si="39"/>
        <v>-34</v>
      </c>
      <c r="J135" s="5">
        <f t="shared" si="40"/>
        <v>1</v>
      </c>
      <c r="K135" s="5">
        <f t="shared" si="41"/>
        <v>9.19</v>
      </c>
      <c r="L135" s="5">
        <f t="shared" si="42"/>
        <v>139</v>
      </c>
      <c r="M135" s="5">
        <f t="shared" si="43"/>
        <v>59</v>
      </c>
      <c r="N135" s="5">
        <f t="shared" si="44"/>
        <v>16.579999999999998</v>
      </c>
      <c r="O135" s="1">
        <v>41</v>
      </c>
      <c r="P135">
        <f t="shared" si="34"/>
        <v>4.1000000000000002E-2</v>
      </c>
      <c r="Q135" s="3" t="s">
        <v>184</v>
      </c>
      <c r="R135" t="str">
        <f t="shared" si="35"/>
        <v>16/07/2015</v>
      </c>
      <c r="S135">
        <f t="shared" si="45"/>
        <v>2015</v>
      </c>
      <c r="T135">
        <f t="shared" si="46"/>
        <v>7</v>
      </c>
      <c r="U135" t="str">
        <f t="shared" si="47"/>
        <v>07</v>
      </c>
      <c r="V135">
        <f t="shared" si="48"/>
        <v>16</v>
      </c>
      <c r="W135" t="str">
        <f t="shared" si="49"/>
        <v>16</v>
      </c>
      <c r="X135" t="str">
        <f t="shared" si="50"/>
        <v>https://api.geomagnetism.ga.gov.au/agrf?latd=-34&amp;latm=1&amp;lats=9.19&amp;lond=139&amp;lonm=59&amp;lons=16.58&amp;year=2015&amp;month=07&amp;day=16&amp;elev=0.041&amp;Ein=D&amp;Ein=d</v>
      </c>
    </row>
    <row r="136" spans="1:24" ht="17" x14ac:dyDescent="0.25">
      <c r="A136" s="1" t="s">
        <v>159</v>
      </c>
      <c r="B136" s="1">
        <v>-34.00508</v>
      </c>
      <c r="C136" s="1">
        <v>140.50067999999999</v>
      </c>
      <c r="D136" t="s">
        <v>754</v>
      </c>
      <c r="E136" t="s">
        <v>755</v>
      </c>
      <c r="F136" t="str">
        <f t="shared" si="36"/>
        <v>-34° 0' 18.29"</v>
      </c>
      <c r="G136" t="str">
        <f t="shared" si="37"/>
        <v>140° 30' 2.45"</v>
      </c>
      <c r="H136" s="5">
        <f t="shared" si="38"/>
        <v>34</v>
      </c>
      <c r="I136" s="5">
        <f t="shared" si="39"/>
        <v>-34</v>
      </c>
      <c r="J136" s="5">
        <f t="shared" si="40"/>
        <v>0</v>
      </c>
      <c r="K136" s="5">
        <f t="shared" si="41"/>
        <v>18.29</v>
      </c>
      <c r="L136" s="5">
        <f t="shared" si="42"/>
        <v>140</v>
      </c>
      <c r="M136" s="5">
        <f t="shared" si="43"/>
        <v>30</v>
      </c>
      <c r="N136" s="5">
        <f t="shared" si="44"/>
        <v>2.4500000000000002</v>
      </c>
      <c r="O136" s="1">
        <v>45</v>
      </c>
      <c r="P136">
        <f t="shared" si="34"/>
        <v>4.4999999999999998E-2</v>
      </c>
      <c r="Q136" s="3" t="s">
        <v>184</v>
      </c>
      <c r="R136" t="str">
        <f t="shared" si="35"/>
        <v>16/07/2015</v>
      </c>
      <c r="S136">
        <f t="shared" si="45"/>
        <v>2015</v>
      </c>
      <c r="T136">
        <f t="shared" si="46"/>
        <v>7</v>
      </c>
      <c r="U136" t="str">
        <f t="shared" si="47"/>
        <v>07</v>
      </c>
      <c r="V136">
        <f t="shared" si="48"/>
        <v>16</v>
      </c>
      <c r="W136" t="str">
        <f t="shared" si="49"/>
        <v>16</v>
      </c>
      <c r="X136" t="str">
        <f t="shared" si="50"/>
        <v>https://api.geomagnetism.ga.gov.au/agrf?latd=-34&amp;latm=0&amp;lats=18.29&amp;lond=140&amp;lonm=30&amp;lons=2.45&amp;year=2015&amp;month=07&amp;day=16&amp;elev=0.045&amp;Ein=D&amp;Ein=d</v>
      </c>
    </row>
    <row r="137" spans="1:24" ht="17" x14ac:dyDescent="0.25">
      <c r="A137" s="1" t="s">
        <v>160</v>
      </c>
      <c r="B137" s="1">
        <v>-34.011249999999997</v>
      </c>
      <c r="C137" s="1">
        <v>140.96092999999999</v>
      </c>
      <c r="D137" t="s">
        <v>756</v>
      </c>
      <c r="E137" t="s">
        <v>757</v>
      </c>
      <c r="F137" t="str">
        <f t="shared" si="36"/>
        <v>-34° 0' 40.50"</v>
      </c>
      <c r="G137" t="str">
        <f t="shared" si="37"/>
        <v>140° 57' 39.35"</v>
      </c>
      <c r="H137" s="5">
        <f t="shared" si="38"/>
        <v>34</v>
      </c>
      <c r="I137" s="5">
        <f t="shared" si="39"/>
        <v>-34</v>
      </c>
      <c r="J137" s="5">
        <f t="shared" si="40"/>
        <v>0</v>
      </c>
      <c r="K137" s="5">
        <f t="shared" si="41"/>
        <v>40.5</v>
      </c>
      <c r="L137" s="5">
        <f t="shared" si="42"/>
        <v>140</v>
      </c>
      <c r="M137" s="5">
        <f t="shared" si="43"/>
        <v>57</v>
      </c>
      <c r="N137" s="5">
        <f t="shared" si="44"/>
        <v>39.35</v>
      </c>
      <c r="O137" s="1">
        <v>65</v>
      </c>
      <c r="P137">
        <f t="shared" si="34"/>
        <v>6.5000000000000002E-2</v>
      </c>
      <c r="Q137" s="3" t="s">
        <v>184</v>
      </c>
      <c r="R137" t="str">
        <f t="shared" si="35"/>
        <v>16/07/2015</v>
      </c>
      <c r="S137">
        <f t="shared" si="45"/>
        <v>2015</v>
      </c>
      <c r="T137">
        <f t="shared" si="46"/>
        <v>7</v>
      </c>
      <c r="U137" t="str">
        <f t="shared" si="47"/>
        <v>07</v>
      </c>
      <c r="V137">
        <f t="shared" si="48"/>
        <v>16</v>
      </c>
      <c r="W137" t="str">
        <f t="shared" si="49"/>
        <v>16</v>
      </c>
      <c r="X137" t="str">
        <f t="shared" si="50"/>
        <v>https://api.geomagnetism.ga.gov.au/agrf?latd=-34&amp;latm=0&amp;lats=40.5&amp;lond=140&amp;lonm=57&amp;lons=39.35&amp;year=2015&amp;month=07&amp;day=16&amp;elev=0.065&amp;Ein=D&amp;Ein=d</v>
      </c>
    </row>
    <row r="138" spans="1:24" ht="17" x14ac:dyDescent="0.25">
      <c r="A138" s="1" t="s">
        <v>161</v>
      </c>
      <c r="B138" s="1">
        <v>-30.354669999999999</v>
      </c>
      <c r="C138" s="1">
        <v>139.37487999999999</v>
      </c>
      <c r="D138" t="s">
        <v>758</v>
      </c>
      <c r="E138" t="s">
        <v>759</v>
      </c>
      <c r="F138" t="str">
        <f t="shared" si="36"/>
        <v>-30° 21' 16.81"</v>
      </c>
      <c r="G138" t="str">
        <f t="shared" si="37"/>
        <v>139° 22' 29.57"</v>
      </c>
      <c r="H138" s="5">
        <f t="shared" si="38"/>
        <v>30</v>
      </c>
      <c r="I138" s="5">
        <f t="shared" si="39"/>
        <v>-30</v>
      </c>
      <c r="J138" s="5">
        <f t="shared" si="40"/>
        <v>21</v>
      </c>
      <c r="K138" s="5">
        <f t="shared" si="41"/>
        <v>16.809999999999999</v>
      </c>
      <c r="L138" s="5">
        <f t="shared" si="42"/>
        <v>139</v>
      </c>
      <c r="M138" s="5">
        <f t="shared" si="43"/>
        <v>22</v>
      </c>
      <c r="N138" s="5">
        <f t="shared" si="44"/>
        <v>29.57</v>
      </c>
      <c r="O138" s="1">
        <v>277</v>
      </c>
      <c r="P138">
        <f t="shared" si="34"/>
        <v>0.27700000000000002</v>
      </c>
      <c r="Q138" s="3" t="s">
        <v>174</v>
      </c>
      <c r="R138" t="str">
        <f t="shared" si="35"/>
        <v>31/07/2015</v>
      </c>
      <c r="S138">
        <f t="shared" si="45"/>
        <v>2015</v>
      </c>
      <c r="T138">
        <f t="shared" si="46"/>
        <v>7</v>
      </c>
      <c r="U138" t="str">
        <f t="shared" si="47"/>
        <v>07</v>
      </c>
      <c r="V138">
        <f t="shared" si="48"/>
        <v>31</v>
      </c>
      <c r="W138" t="str">
        <f t="shared" si="49"/>
        <v>31</v>
      </c>
      <c r="X138" t="str">
        <f t="shared" si="50"/>
        <v>https://api.geomagnetism.ga.gov.au/agrf?latd=-30&amp;latm=21&amp;lats=16.81&amp;lond=139&amp;lonm=22&amp;lons=29.57&amp;year=2015&amp;month=07&amp;day=31&amp;elev=0.277&amp;Ein=D&amp;Ein=d</v>
      </c>
    </row>
    <row r="139" spans="1:24" ht="17" x14ac:dyDescent="0.25">
      <c r="A139" s="1" t="s">
        <v>162</v>
      </c>
      <c r="B139" s="1">
        <v>-30.35576</v>
      </c>
      <c r="C139" s="1">
        <v>139.37388999999999</v>
      </c>
      <c r="D139" t="s">
        <v>760</v>
      </c>
      <c r="E139" t="s">
        <v>761</v>
      </c>
      <c r="F139" t="str">
        <f t="shared" si="36"/>
        <v>-30° 21' 20.74"</v>
      </c>
      <c r="G139" t="str">
        <f t="shared" si="37"/>
        <v>139° 22' 26.00"</v>
      </c>
      <c r="H139" s="5">
        <f t="shared" si="38"/>
        <v>30</v>
      </c>
      <c r="I139" s="5">
        <f t="shared" si="39"/>
        <v>-30</v>
      </c>
      <c r="J139" s="5">
        <f t="shared" si="40"/>
        <v>21</v>
      </c>
      <c r="K139" s="5">
        <f t="shared" si="41"/>
        <v>20.74</v>
      </c>
      <c r="L139" s="5">
        <f t="shared" si="42"/>
        <v>139</v>
      </c>
      <c r="M139" s="5">
        <f t="shared" si="43"/>
        <v>22</v>
      </c>
      <c r="N139" s="5">
        <f t="shared" si="44"/>
        <v>26</v>
      </c>
      <c r="O139" s="1">
        <v>277</v>
      </c>
      <c r="P139">
        <f t="shared" si="34"/>
        <v>0.27700000000000002</v>
      </c>
      <c r="Q139" s="3" t="s">
        <v>185</v>
      </c>
      <c r="R139" t="str">
        <f t="shared" si="35"/>
        <v>29/06/2017</v>
      </c>
      <c r="S139">
        <f t="shared" si="45"/>
        <v>2017</v>
      </c>
      <c r="T139">
        <f t="shared" si="46"/>
        <v>6</v>
      </c>
      <c r="U139" t="str">
        <f t="shared" si="47"/>
        <v>06</v>
      </c>
      <c r="V139">
        <f t="shared" si="48"/>
        <v>29</v>
      </c>
      <c r="W139" t="str">
        <f t="shared" si="49"/>
        <v>29</v>
      </c>
      <c r="X139" t="str">
        <f t="shared" si="50"/>
        <v>https://api.geomagnetism.ga.gov.au/agrf?latd=-30&amp;latm=21&amp;lats=20.74&amp;lond=139&amp;lonm=22&amp;lons=26&amp;year=2017&amp;month=06&amp;day=29&amp;elev=0.277&amp;Ein=D&amp;Ein=d</v>
      </c>
    </row>
    <row r="140" spans="1:24" ht="17" x14ac:dyDescent="0.25">
      <c r="A140" s="1" t="s">
        <v>197</v>
      </c>
      <c r="B140" s="1">
        <v>-30.355450000000001</v>
      </c>
      <c r="C140" s="1">
        <v>139.37378000000001</v>
      </c>
      <c r="D140" t="s">
        <v>762</v>
      </c>
      <c r="E140" t="s">
        <v>763</v>
      </c>
      <c r="F140" t="str">
        <f t="shared" si="36"/>
        <v>-30° 21' 19.62"</v>
      </c>
      <c r="G140" t="str">
        <f t="shared" si="37"/>
        <v>139° 22' 25.61"</v>
      </c>
      <c r="H140" s="5">
        <f t="shared" si="38"/>
        <v>30</v>
      </c>
      <c r="I140" s="5">
        <f t="shared" si="39"/>
        <v>-30</v>
      </c>
      <c r="J140" s="5">
        <f t="shared" si="40"/>
        <v>21</v>
      </c>
      <c r="K140" s="5">
        <f t="shared" si="41"/>
        <v>19.62</v>
      </c>
      <c r="L140" s="5">
        <f t="shared" si="42"/>
        <v>139</v>
      </c>
      <c r="M140" s="5">
        <f t="shared" si="43"/>
        <v>22</v>
      </c>
      <c r="N140" s="5">
        <f t="shared" si="44"/>
        <v>25.61</v>
      </c>
      <c r="O140" s="1">
        <v>277</v>
      </c>
      <c r="P140">
        <f t="shared" si="34"/>
        <v>0.27700000000000002</v>
      </c>
      <c r="Q140" s="3" t="s">
        <v>185</v>
      </c>
      <c r="R140" t="str">
        <f t="shared" si="35"/>
        <v>29/06/2017</v>
      </c>
      <c r="S140">
        <f t="shared" si="45"/>
        <v>2017</v>
      </c>
      <c r="T140">
        <f t="shared" si="46"/>
        <v>6</v>
      </c>
      <c r="U140" t="str">
        <f t="shared" si="47"/>
        <v>06</v>
      </c>
      <c r="V140">
        <f t="shared" si="48"/>
        <v>29</v>
      </c>
      <c r="W140" t="str">
        <f t="shared" si="49"/>
        <v>29</v>
      </c>
      <c r="X140" t="str">
        <f t="shared" si="50"/>
        <v>https://api.geomagnetism.ga.gov.au/agrf?latd=-30&amp;latm=21&amp;lats=19.62&amp;lond=139&amp;lonm=22&amp;lons=25.61&amp;year=2017&amp;month=06&amp;day=29&amp;elev=0.277&amp;Ein=D&amp;Ein=d</v>
      </c>
    </row>
    <row r="141" spans="1:24" ht="17" x14ac:dyDescent="0.25">
      <c r="A141" s="1" t="s">
        <v>163</v>
      </c>
      <c r="B141" s="1">
        <v>-31.877680000000002</v>
      </c>
      <c r="C141" s="1">
        <v>140.0274</v>
      </c>
      <c r="D141" t="s">
        <v>764</v>
      </c>
      <c r="E141" t="s">
        <v>765</v>
      </c>
      <c r="F141" t="str">
        <f t="shared" si="36"/>
        <v>-31° 52' 39.65"</v>
      </c>
      <c r="G141" t="str">
        <f t="shared" si="37"/>
        <v>140° 1' 38.64"</v>
      </c>
      <c r="H141" s="5">
        <f t="shared" si="38"/>
        <v>31</v>
      </c>
      <c r="I141" s="5">
        <f t="shared" si="39"/>
        <v>-31</v>
      </c>
      <c r="J141" s="5">
        <f t="shared" si="40"/>
        <v>52</v>
      </c>
      <c r="K141" s="5">
        <f t="shared" si="41"/>
        <v>39.65</v>
      </c>
      <c r="L141" s="5">
        <f t="shared" si="42"/>
        <v>140</v>
      </c>
      <c r="M141" s="5">
        <f t="shared" si="43"/>
        <v>1</v>
      </c>
      <c r="N141" s="5">
        <f t="shared" si="44"/>
        <v>38.64</v>
      </c>
      <c r="O141" s="1">
        <v>180</v>
      </c>
      <c r="P141">
        <f t="shared" si="34"/>
        <v>0.18</v>
      </c>
      <c r="Q141" s="3" t="s">
        <v>186</v>
      </c>
      <c r="R141" t="str">
        <f t="shared" si="35"/>
        <v>01/08/2015</v>
      </c>
      <c r="S141">
        <f t="shared" si="45"/>
        <v>2015</v>
      </c>
      <c r="T141">
        <f t="shared" si="46"/>
        <v>8</v>
      </c>
      <c r="U141" t="str">
        <f t="shared" si="47"/>
        <v>08</v>
      </c>
      <c r="V141">
        <f t="shared" si="48"/>
        <v>1</v>
      </c>
      <c r="W141" t="str">
        <f t="shared" si="49"/>
        <v>01</v>
      </c>
      <c r="X141" t="str">
        <f t="shared" si="50"/>
        <v>https://api.geomagnetism.ga.gov.au/agrf?latd=-31&amp;latm=52&amp;lats=39.65&amp;lond=140&amp;lonm=1&amp;lons=38.64&amp;year=2015&amp;month=08&amp;day=01&amp;elev=0.18&amp;Ein=D&amp;Ein=d</v>
      </c>
    </row>
    <row r="142" spans="1:24" ht="17" x14ac:dyDescent="0.25">
      <c r="A142" s="1" t="s">
        <v>198</v>
      </c>
      <c r="B142" s="1">
        <v>-31.497669999999999</v>
      </c>
      <c r="C142" s="1">
        <v>132.43353999999999</v>
      </c>
      <c r="D142" t="s">
        <v>766</v>
      </c>
      <c r="E142" t="s">
        <v>767</v>
      </c>
      <c r="F142" t="str">
        <f t="shared" si="36"/>
        <v>-31° 29' 51.61"</v>
      </c>
      <c r="G142" t="str">
        <f t="shared" si="37"/>
        <v>132° 26' 0.74"</v>
      </c>
      <c r="H142" s="5">
        <f t="shared" si="38"/>
        <v>31</v>
      </c>
      <c r="I142" s="5">
        <f t="shared" si="39"/>
        <v>-31</v>
      </c>
      <c r="J142" s="5">
        <f t="shared" si="40"/>
        <v>29</v>
      </c>
      <c r="K142" s="5">
        <f t="shared" si="41"/>
        <v>51.61</v>
      </c>
      <c r="L142" s="5">
        <f t="shared" si="42"/>
        <v>132</v>
      </c>
      <c r="M142" s="5">
        <f t="shared" si="43"/>
        <v>26</v>
      </c>
      <c r="N142" s="5">
        <f t="shared" si="44"/>
        <v>0.74</v>
      </c>
      <c r="O142" s="1">
        <v>61</v>
      </c>
      <c r="P142">
        <f t="shared" si="34"/>
        <v>6.0999999999999999E-2</v>
      </c>
      <c r="Q142" s="3" t="s">
        <v>249</v>
      </c>
      <c r="R142" t="str">
        <f t="shared" si="35"/>
        <v>23/02/2015</v>
      </c>
      <c r="S142">
        <f t="shared" si="45"/>
        <v>2015</v>
      </c>
      <c r="T142">
        <f t="shared" si="46"/>
        <v>2</v>
      </c>
      <c r="U142" t="str">
        <f t="shared" si="47"/>
        <v>02</v>
      </c>
      <c r="V142">
        <f t="shared" si="48"/>
        <v>23</v>
      </c>
      <c r="W142" t="str">
        <f t="shared" si="49"/>
        <v>23</v>
      </c>
      <c r="X142" t="str">
        <f t="shared" si="50"/>
        <v>https://api.geomagnetism.ga.gov.au/agrf?latd=-31&amp;latm=29&amp;lats=51.61&amp;lond=132&amp;lonm=26&amp;lons=0.74&amp;year=2015&amp;month=02&amp;day=23&amp;elev=0.061&amp;Ein=D&amp;Ein=d</v>
      </c>
    </row>
    <row r="143" spans="1:24" ht="17" x14ac:dyDescent="0.25">
      <c r="A143" s="1" t="s">
        <v>199</v>
      </c>
      <c r="B143" s="1">
        <v>-31.06204</v>
      </c>
      <c r="C143" s="1">
        <v>132.50966</v>
      </c>
      <c r="D143" t="s">
        <v>768</v>
      </c>
      <c r="E143" t="s">
        <v>769</v>
      </c>
      <c r="F143" t="str">
        <f t="shared" si="36"/>
        <v>-31° 3' 43.34"</v>
      </c>
      <c r="G143" t="str">
        <f t="shared" si="37"/>
        <v>132° 30' 34.78"</v>
      </c>
      <c r="H143" s="5">
        <f t="shared" si="38"/>
        <v>31</v>
      </c>
      <c r="I143" s="5">
        <f t="shared" si="39"/>
        <v>-31</v>
      </c>
      <c r="J143" s="5">
        <f t="shared" si="40"/>
        <v>3</v>
      </c>
      <c r="K143" s="5">
        <f t="shared" si="41"/>
        <v>43.34</v>
      </c>
      <c r="L143" s="5">
        <f t="shared" si="42"/>
        <v>132</v>
      </c>
      <c r="M143" s="5">
        <f t="shared" si="43"/>
        <v>30</v>
      </c>
      <c r="N143" s="5">
        <f t="shared" si="44"/>
        <v>34.78</v>
      </c>
      <c r="O143" s="1">
        <v>192</v>
      </c>
      <c r="P143">
        <f t="shared" si="34"/>
        <v>0.192</v>
      </c>
      <c r="Q143" s="3" t="s">
        <v>95</v>
      </c>
      <c r="R143" t="str">
        <f t="shared" si="35"/>
        <v>18/11/2015</v>
      </c>
      <c r="S143">
        <f t="shared" si="45"/>
        <v>2015</v>
      </c>
      <c r="T143">
        <f t="shared" si="46"/>
        <v>11</v>
      </c>
      <c r="U143" t="str">
        <f t="shared" si="47"/>
        <v>11</v>
      </c>
      <c r="V143">
        <f t="shared" si="48"/>
        <v>18</v>
      </c>
      <c r="W143" t="str">
        <f t="shared" si="49"/>
        <v>18</v>
      </c>
      <c r="X143" t="str">
        <f t="shared" si="50"/>
        <v>https://api.geomagnetism.ga.gov.au/agrf?latd=-31&amp;latm=3&amp;lats=43.34&amp;lond=132&amp;lonm=30&amp;lons=34.78&amp;year=2015&amp;month=11&amp;day=18&amp;elev=0.192&amp;Ein=D&amp;Ein=d</v>
      </c>
    </row>
    <row r="144" spans="1:24" ht="17" x14ac:dyDescent="0.25">
      <c r="A144" s="1" t="s">
        <v>200</v>
      </c>
      <c r="B144" s="1">
        <v>-31.481380000000001</v>
      </c>
      <c r="C144" s="1">
        <v>132.87450000000001</v>
      </c>
      <c r="D144" t="s">
        <v>770</v>
      </c>
      <c r="E144" t="s">
        <v>771</v>
      </c>
      <c r="F144" t="str">
        <f t="shared" si="36"/>
        <v>-31° 28' 52.97"</v>
      </c>
      <c r="G144" t="str">
        <f t="shared" si="37"/>
        <v>132° 52' 28.20"</v>
      </c>
      <c r="H144" s="5">
        <f t="shared" si="38"/>
        <v>31</v>
      </c>
      <c r="I144" s="5">
        <f t="shared" si="39"/>
        <v>-31</v>
      </c>
      <c r="J144" s="5">
        <f t="shared" si="40"/>
        <v>28</v>
      </c>
      <c r="K144" s="5">
        <f t="shared" si="41"/>
        <v>52.97</v>
      </c>
      <c r="L144" s="5">
        <f t="shared" si="42"/>
        <v>132</v>
      </c>
      <c r="M144" s="5">
        <f t="shared" si="43"/>
        <v>52</v>
      </c>
      <c r="N144" s="5">
        <f t="shared" si="44"/>
        <v>28.2</v>
      </c>
      <c r="O144" s="1">
        <v>144</v>
      </c>
      <c r="P144">
        <f t="shared" si="34"/>
        <v>0.14399999999999999</v>
      </c>
      <c r="Q144" s="3" t="s">
        <v>249</v>
      </c>
      <c r="R144" t="str">
        <f t="shared" si="35"/>
        <v>23/02/2015</v>
      </c>
      <c r="S144">
        <f t="shared" si="45"/>
        <v>2015</v>
      </c>
      <c r="T144">
        <f t="shared" si="46"/>
        <v>2</v>
      </c>
      <c r="U144" t="str">
        <f t="shared" si="47"/>
        <v>02</v>
      </c>
      <c r="V144">
        <f t="shared" si="48"/>
        <v>23</v>
      </c>
      <c r="W144" t="str">
        <f t="shared" si="49"/>
        <v>23</v>
      </c>
      <c r="X144" t="str">
        <f t="shared" si="50"/>
        <v>https://api.geomagnetism.ga.gov.au/agrf?latd=-31&amp;latm=28&amp;lats=52.97&amp;lond=132&amp;lonm=52&amp;lons=28.2&amp;year=2015&amp;month=02&amp;day=23&amp;elev=0.144&amp;Ein=D&amp;Ein=d</v>
      </c>
    </row>
    <row r="145" spans="1:24" ht="17" x14ac:dyDescent="0.25">
      <c r="A145" s="1" t="s">
        <v>276</v>
      </c>
      <c r="B145" s="1">
        <v>-28.952110000000001</v>
      </c>
      <c r="C145" s="1">
        <v>133.00067000000001</v>
      </c>
      <c r="D145" t="s">
        <v>772</v>
      </c>
      <c r="E145" t="s">
        <v>773</v>
      </c>
      <c r="F145" t="str">
        <f t="shared" si="36"/>
        <v>-28° 57' 7.60"</v>
      </c>
      <c r="G145" t="str">
        <f t="shared" si="37"/>
        <v>133° 0' 2.41"</v>
      </c>
      <c r="H145" s="5">
        <f t="shared" si="38"/>
        <v>28</v>
      </c>
      <c r="I145" s="5">
        <f t="shared" si="39"/>
        <v>-28</v>
      </c>
      <c r="J145" s="5">
        <f t="shared" si="40"/>
        <v>57</v>
      </c>
      <c r="K145" s="5">
        <f t="shared" si="41"/>
        <v>7.6</v>
      </c>
      <c r="L145" s="5">
        <f t="shared" si="42"/>
        <v>133</v>
      </c>
      <c r="M145" s="5">
        <f t="shared" si="43"/>
        <v>0</v>
      </c>
      <c r="N145" s="5">
        <f t="shared" si="44"/>
        <v>2.41</v>
      </c>
      <c r="O145" s="1">
        <v>210</v>
      </c>
      <c r="P145">
        <f t="shared" si="34"/>
        <v>0.21</v>
      </c>
      <c r="Q145" s="3" t="s">
        <v>250</v>
      </c>
      <c r="R145" t="str">
        <f t="shared" si="35"/>
        <v>12/12/2014</v>
      </c>
      <c r="S145">
        <f t="shared" si="45"/>
        <v>2014</v>
      </c>
      <c r="T145">
        <f t="shared" si="46"/>
        <v>12</v>
      </c>
      <c r="U145" t="str">
        <f t="shared" si="47"/>
        <v>12</v>
      </c>
      <c r="V145">
        <f t="shared" si="48"/>
        <v>12</v>
      </c>
      <c r="W145" t="str">
        <f t="shared" si="49"/>
        <v>12</v>
      </c>
      <c r="X145" t="str">
        <f t="shared" si="50"/>
        <v>https://api.geomagnetism.ga.gov.au/agrf?latd=-28&amp;latm=57&amp;lats=7.6&amp;lond=133&amp;lonm=0&amp;lons=2.41&amp;year=2014&amp;month=12&amp;day=12&amp;elev=0.21&amp;Ein=D&amp;Ein=d</v>
      </c>
    </row>
    <row r="146" spans="1:24" ht="17" x14ac:dyDescent="0.25">
      <c r="A146" s="1" t="s">
        <v>201</v>
      </c>
      <c r="B146" s="1">
        <v>-30.999949999999998</v>
      </c>
      <c r="C146" s="1">
        <v>133.0026</v>
      </c>
      <c r="D146" t="s">
        <v>774</v>
      </c>
      <c r="E146" t="s">
        <v>775</v>
      </c>
      <c r="F146" t="str">
        <f t="shared" si="36"/>
        <v>-30° 59' 59.82"</v>
      </c>
      <c r="G146" t="str">
        <f t="shared" si="37"/>
        <v>133° 0' 9.36"</v>
      </c>
      <c r="H146" s="5">
        <f t="shared" si="38"/>
        <v>30</v>
      </c>
      <c r="I146" s="5">
        <f t="shared" si="39"/>
        <v>-30</v>
      </c>
      <c r="J146" s="5">
        <f t="shared" si="40"/>
        <v>59</v>
      </c>
      <c r="K146" s="5">
        <f t="shared" si="41"/>
        <v>59.82</v>
      </c>
      <c r="L146" s="5">
        <f t="shared" si="42"/>
        <v>133</v>
      </c>
      <c r="M146" s="5">
        <f t="shared" si="43"/>
        <v>0</v>
      </c>
      <c r="N146" s="5">
        <f t="shared" si="44"/>
        <v>9.36</v>
      </c>
      <c r="O146" s="1">
        <v>124</v>
      </c>
      <c r="P146">
        <f t="shared" si="34"/>
        <v>0.124</v>
      </c>
      <c r="Q146" s="3" t="s">
        <v>249</v>
      </c>
      <c r="R146" t="str">
        <f t="shared" si="35"/>
        <v>23/02/2015</v>
      </c>
      <c r="S146">
        <f t="shared" si="45"/>
        <v>2015</v>
      </c>
      <c r="T146">
        <f t="shared" si="46"/>
        <v>2</v>
      </c>
      <c r="U146" t="str">
        <f t="shared" si="47"/>
        <v>02</v>
      </c>
      <c r="V146">
        <f t="shared" si="48"/>
        <v>23</v>
      </c>
      <c r="W146" t="str">
        <f t="shared" si="49"/>
        <v>23</v>
      </c>
      <c r="X146" t="str">
        <f t="shared" si="50"/>
        <v>https://api.geomagnetism.ga.gov.au/agrf?latd=-30&amp;latm=59&amp;lats=59.82&amp;lond=133&amp;lonm=0&amp;lons=9.36&amp;year=2015&amp;month=02&amp;day=23&amp;elev=0.124&amp;Ein=D&amp;Ein=d</v>
      </c>
    </row>
    <row r="147" spans="1:24" ht="17" x14ac:dyDescent="0.25">
      <c r="A147" s="1" t="s">
        <v>202</v>
      </c>
      <c r="B147" s="1">
        <v>-29.99859</v>
      </c>
      <c r="C147" s="1">
        <v>133.01105000000001</v>
      </c>
      <c r="D147" t="s">
        <v>776</v>
      </c>
      <c r="E147" t="s">
        <v>777</v>
      </c>
      <c r="F147" t="str">
        <f t="shared" si="36"/>
        <v>-29° 59' 54.92"</v>
      </c>
      <c r="G147" t="str">
        <f t="shared" si="37"/>
        <v>133° 0' 39.78"</v>
      </c>
      <c r="H147" s="5">
        <f t="shared" si="38"/>
        <v>29</v>
      </c>
      <c r="I147" s="5">
        <f t="shared" si="39"/>
        <v>-29</v>
      </c>
      <c r="J147" s="5">
        <f t="shared" si="40"/>
        <v>59</v>
      </c>
      <c r="K147" s="5">
        <f t="shared" si="41"/>
        <v>54.92</v>
      </c>
      <c r="L147" s="5">
        <f t="shared" si="42"/>
        <v>133</v>
      </c>
      <c r="M147" s="5">
        <f t="shared" si="43"/>
        <v>0</v>
      </c>
      <c r="N147" s="5">
        <f t="shared" si="44"/>
        <v>39.78</v>
      </c>
      <c r="O147" s="1">
        <v>177</v>
      </c>
      <c r="P147">
        <f t="shared" si="34"/>
        <v>0.17699999999999999</v>
      </c>
      <c r="Q147" s="3" t="s">
        <v>251</v>
      </c>
      <c r="R147" t="str">
        <f t="shared" si="35"/>
        <v>21/10/2014</v>
      </c>
      <c r="S147">
        <f t="shared" si="45"/>
        <v>2014</v>
      </c>
      <c r="T147">
        <f t="shared" si="46"/>
        <v>10</v>
      </c>
      <c r="U147" t="str">
        <f t="shared" si="47"/>
        <v>10</v>
      </c>
      <c r="V147">
        <f t="shared" si="48"/>
        <v>21</v>
      </c>
      <c r="W147" t="str">
        <f t="shared" si="49"/>
        <v>21</v>
      </c>
      <c r="X147" t="str">
        <f t="shared" si="50"/>
        <v>https://api.geomagnetism.ga.gov.au/agrf?latd=-29&amp;latm=59&amp;lats=54.92&amp;lond=133&amp;lonm=0&amp;lons=39.78&amp;year=2014&amp;month=10&amp;day=21&amp;elev=0.177&amp;Ein=D&amp;Ein=d</v>
      </c>
    </row>
    <row r="148" spans="1:24" ht="17" x14ac:dyDescent="0.25">
      <c r="A148" s="1" t="s">
        <v>203</v>
      </c>
      <c r="B148" s="1">
        <v>-29.501662</v>
      </c>
      <c r="C148" s="1">
        <v>133.016268</v>
      </c>
      <c r="D148" t="s">
        <v>778</v>
      </c>
      <c r="E148" t="s">
        <v>779</v>
      </c>
      <c r="F148" t="str">
        <f t="shared" si="36"/>
        <v>-29° 30' 5.98"</v>
      </c>
      <c r="G148" t="str">
        <f t="shared" si="37"/>
        <v>133° 0' 58.56"</v>
      </c>
      <c r="H148" s="5">
        <f t="shared" si="38"/>
        <v>29</v>
      </c>
      <c r="I148" s="5">
        <f t="shared" si="39"/>
        <v>-29</v>
      </c>
      <c r="J148" s="5">
        <f t="shared" si="40"/>
        <v>30</v>
      </c>
      <c r="K148" s="5">
        <f t="shared" si="41"/>
        <v>5.98</v>
      </c>
      <c r="L148" s="5">
        <f t="shared" si="42"/>
        <v>133</v>
      </c>
      <c r="M148" s="5">
        <f t="shared" si="43"/>
        <v>0</v>
      </c>
      <c r="N148" s="5">
        <f t="shared" si="44"/>
        <v>58.56</v>
      </c>
      <c r="O148" s="1">
        <v>159</v>
      </c>
      <c r="P148">
        <f t="shared" si="34"/>
        <v>0.159</v>
      </c>
      <c r="Q148" s="3" t="s">
        <v>251</v>
      </c>
      <c r="R148" t="str">
        <f t="shared" si="35"/>
        <v>21/10/2014</v>
      </c>
      <c r="S148">
        <f t="shared" si="45"/>
        <v>2014</v>
      </c>
      <c r="T148">
        <f t="shared" si="46"/>
        <v>10</v>
      </c>
      <c r="U148" t="str">
        <f t="shared" si="47"/>
        <v>10</v>
      </c>
      <c r="V148">
        <f t="shared" si="48"/>
        <v>21</v>
      </c>
      <c r="W148" t="str">
        <f t="shared" si="49"/>
        <v>21</v>
      </c>
      <c r="X148" t="str">
        <f t="shared" si="50"/>
        <v>https://api.geomagnetism.ga.gov.au/agrf?latd=-29&amp;latm=30&amp;lats=5.98&amp;lond=133&amp;lonm=0&amp;lons=58.56&amp;year=2014&amp;month=10&amp;day=21&amp;elev=0.159&amp;Ein=D&amp;Ein=d</v>
      </c>
    </row>
    <row r="149" spans="1:24" ht="17" x14ac:dyDescent="0.25">
      <c r="A149" s="1" t="s">
        <v>277</v>
      </c>
      <c r="B149" s="1">
        <v>-29.021090000000001</v>
      </c>
      <c r="C149" s="1">
        <v>133.53647000000001</v>
      </c>
      <c r="D149" t="s">
        <v>780</v>
      </c>
      <c r="E149" t="s">
        <v>781</v>
      </c>
      <c r="F149" t="str">
        <f t="shared" si="36"/>
        <v>-29° 1' 15.92"</v>
      </c>
      <c r="G149" t="str">
        <f t="shared" si="37"/>
        <v>133° 32' 11.29"</v>
      </c>
      <c r="H149" s="5">
        <f t="shared" si="38"/>
        <v>29</v>
      </c>
      <c r="I149" s="5">
        <f t="shared" si="39"/>
        <v>-29</v>
      </c>
      <c r="J149" s="5">
        <f t="shared" si="40"/>
        <v>1</v>
      </c>
      <c r="K149" s="5">
        <f t="shared" si="41"/>
        <v>15.92</v>
      </c>
      <c r="L149" s="5">
        <f t="shared" si="42"/>
        <v>133</v>
      </c>
      <c r="M149" s="5">
        <f t="shared" si="43"/>
        <v>32</v>
      </c>
      <c r="N149" s="5">
        <f t="shared" si="44"/>
        <v>11.29</v>
      </c>
      <c r="O149" s="1">
        <v>184</v>
      </c>
      <c r="P149">
        <f t="shared" si="34"/>
        <v>0.184</v>
      </c>
      <c r="Q149" s="3" t="s">
        <v>250</v>
      </c>
      <c r="R149" t="str">
        <f t="shared" si="35"/>
        <v>12/12/2014</v>
      </c>
      <c r="S149">
        <f t="shared" si="45"/>
        <v>2014</v>
      </c>
      <c r="T149">
        <f t="shared" si="46"/>
        <v>12</v>
      </c>
      <c r="U149" t="str">
        <f t="shared" si="47"/>
        <v>12</v>
      </c>
      <c r="V149">
        <f t="shared" si="48"/>
        <v>12</v>
      </c>
      <c r="W149" t="str">
        <f t="shared" si="49"/>
        <v>12</v>
      </c>
      <c r="X149" t="str">
        <f t="shared" si="50"/>
        <v>https://api.geomagnetism.ga.gov.au/agrf?latd=-29&amp;latm=1&amp;lats=15.92&amp;lond=133&amp;lonm=32&amp;lons=11.29&amp;year=2014&amp;month=12&amp;day=12&amp;elev=0.184&amp;Ein=D&amp;Ein=d</v>
      </c>
    </row>
    <row r="150" spans="1:24" ht="17" x14ac:dyDescent="0.25">
      <c r="A150" s="1" t="s">
        <v>204</v>
      </c>
      <c r="B150" s="1">
        <v>-29.018317</v>
      </c>
      <c r="C150" s="1">
        <v>133.52812499999999</v>
      </c>
      <c r="D150" t="s">
        <v>782</v>
      </c>
      <c r="E150" t="s">
        <v>783</v>
      </c>
      <c r="F150" t="str">
        <f t="shared" si="36"/>
        <v>-29° 1' 5.94"</v>
      </c>
      <c r="G150" t="str">
        <f t="shared" si="37"/>
        <v>133° 31' 41.25"</v>
      </c>
      <c r="H150" s="5">
        <f t="shared" si="38"/>
        <v>29</v>
      </c>
      <c r="I150" s="5">
        <f t="shared" si="39"/>
        <v>-29</v>
      </c>
      <c r="J150" s="5">
        <f t="shared" si="40"/>
        <v>1</v>
      </c>
      <c r="K150" s="5">
        <f t="shared" si="41"/>
        <v>5.94</v>
      </c>
      <c r="L150" s="5">
        <f t="shared" si="42"/>
        <v>133</v>
      </c>
      <c r="M150" s="5">
        <f t="shared" si="43"/>
        <v>31</v>
      </c>
      <c r="N150" s="5">
        <f t="shared" si="44"/>
        <v>41.25</v>
      </c>
      <c r="O150" s="1">
        <v>184</v>
      </c>
      <c r="P150">
        <f t="shared" si="34"/>
        <v>0.184</v>
      </c>
      <c r="Q150" s="3" t="s">
        <v>96</v>
      </c>
      <c r="R150" t="str">
        <f t="shared" si="35"/>
        <v>18/09/2015</v>
      </c>
      <c r="S150">
        <f t="shared" si="45"/>
        <v>2015</v>
      </c>
      <c r="T150">
        <f t="shared" si="46"/>
        <v>9</v>
      </c>
      <c r="U150" t="str">
        <f t="shared" si="47"/>
        <v>09</v>
      </c>
      <c r="V150">
        <f t="shared" si="48"/>
        <v>18</v>
      </c>
      <c r="W150" t="str">
        <f t="shared" si="49"/>
        <v>18</v>
      </c>
      <c r="X150" t="str">
        <f t="shared" si="50"/>
        <v>https://api.geomagnetism.ga.gov.au/agrf?latd=-29&amp;latm=1&amp;lats=5.94&amp;lond=133&amp;lonm=31&amp;lons=41.25&amp;year=2015&amp;month=09&amp;day=18&amp;elev=0.184&amp;Ein=D&amp;Ein=d</v>
      </c>
    </row>
    <row r="151" spans="1:24" ht="17" x14ac:dyDescent="0.25">
      <c r="A151" s="1" t="s">
        <v>205</v>
      </c>
      <c r="B151" s="1">
        <v>-29.503577</v>
      </c>
      <c r="C151" s="1">
        <v>133.499718</v>
      </c>
      <c r="D151" t="s">
        <v>784</v>
      </c>
      <c r="E151" t="s">
        <v>785</v>
      </c>
      <c r="F151" t="str">
        <f t="shared" si="36"/>
        <v>-29° 30' 12.88"</v>
      </c>
      <c r="G151" t="str">
        <f t="shared" si="37"/>
        <v>133° 29' 58.98"</v>
      </c>
      <c r="H151" s="5">
        <f t="shared" si="38"/>
        <v>29</v>
      </c>
      <c r="I151" s="5">
        <f t="shared" si="39"/>
        <v>-29</v>
      </c>
      <c r="J151" s="5">
        <f t="shared" si="40"/>
        <v>30</v>
      </c>
      <c r="K151" s="5">
        <f t="shared" si="41"/>
        <v>12.88</v>
      </c>
      <c r="L151" s="5">
        <f t="shared" si="42"/>
        <v>133</v>
      </c>
      <c r="M151" s="5">
        <f t="shared" si="43"/>
        <v>29</v>
      </c>
      <c r="N151" s="5">
        <f t="shared" si="44"/>
        <v>58.98</v>
      </c>
      <c r="O151" s="1">
        <v>169</v>
      </c>
      <c r="P151">
        <f t="shared" si="34"/>
        <v>0.16900000000000001</v>
      </c>
      <c r="Q151" s="3" t="s">
        <v>251</v>
      </c>
      <c r="R151" t="str">
        <f t="shared" si="35"/>
        <v>21/10/2014</v>
      </c>
      <c r="S151">
        <f t="shared" si="45"/>
        <v>2014</v>
      </c>
      <c r="T151">
        <f t="shared" si="46"/>
        <v>10</v>
      </c>
      <c r="U151" t="str">
        <f t="shared" si="47"/>
        <v>10</v>
      </c>
      <c r="V151">
        <f t="shared" si="48"/>
        <v>21</v>
      </c>
      <c r="W151" t="str">
        <f t="shared" si="49"/>
        <v>21</v>
      </c>
      <c r="X151" t="str">
        <f t="shared" si="50"/>
        <v>https://api.geomagnetism.ga.gov.au/agrf?latd=-29&amp;latm=30&amp;lats=12.88&amp;lond=133&amp;lonm=29&amp;lons=58.98&amp;year=2014&amp;month=10&amp;day=21&amp;elev=0.169&amp;Ein=D&amp;Ein=d</v>
      </c>
    </row>
    <row r="152" spans="1:24" ht="17" x14ac:dyDescent="0.25">
      <c r="A152" s="1" t="s">
        <v>206</v>
      </c>
      <c r="B152" s="1">
        <v>-30.009177999999999</v>
      </c>
      <c r="C152" s="1">
        <v>133.49947299999999</v>
      </c>
      <c r="D152" t="s">
        <v>786</v>
      </c>
      <c r="E152" t="s">
        <v>787</v>
      </c>
      <c r="F152" t="str">
        <f t="shared" si="36"/>
        <v>-30° 0' 33.04"</v>
      </c>
      <c r="G152" t="str">
        <f t="shared" si="37"/>
        <v>133° 29' 58.10"</v>
      </c>
      <c r="H152" s="5">
        <f t="shared" si="38"/>
        <v>30</v>
      </c>
      <c r="I152" s="5">
        <f t="shared" si="39"/>
        <v>-30</v>
      </c>
      <c r="J152" s="5">
        <f t="shared" si="40"/>
        <v>0</v>
      </c>
      <c r="K152" s="5">
        <f t="shared" si="41"/>
        <v>33.04</v>
      </c>
      <c r="L152" s="5">
        <f t="shared" si="42"/>
        <v>133</v>
      </c>
      <c r="M152" s="5">
        <f t="shared" si="43"/>
        <v>29</v>
      </c>
      <c r="N152" s="5">
        <f t="shared" si="44"/>
        <v>58.1</v>
      </c>
      <c r="O152" s="1">
        <v>165</v>
      </c>
      <c r="P152">
        <f t="shared" si="34"/>
        <v>0.16500000000000001</v>
      </c>
      <c r="Q152" s="3" t="s">
        <v>252</v>
      </c>
      <c r="R152" t="str">
        <f t="shared" si="35"/>
        <v>22/10/2014</v>
      </c>
      <c r="S152">
        <f t="shared" si="45"/>
        <v>2014</v>
      </c>
      <c r="T152">
        <f t="shared" si="46"/>
        <v>10</v>
      </c>
      <c r="U152" t="str">
        <f t="shared" si="47"/>
        <v>10</v>
      </c>
      <c r="V152">
        <f t="shared" si="48"/>
        <v>22</v>
      </c>
      <c r="W152" t="str">
        <f t="shared" si="49"/>
        <v>22</v>
      </c>
      <c r="X152" t="str">
        <f t="shared" si="50"/>
        <v>https://api.geomagnetism.ga.gov.au/agrf?latd=-30&amp;latm=0&amp;lats=33.04&amp;lond=133&amp;lonm=29&amp;lons=58.1&amp;year=2014&amp;month=10&amp;day=22&amp;elev=0.165&amp;Ein=D&amp;Ein=d</v>
      </c>
    </row>
    <row r="153" spans="1:24" ht="17" x14ac:dyDescent="0.25">
      <c r="A153" s="1" t="s">
        <v>207</v>
      </c>
      <c r="B153" s="1">
        <v>-30.035450000000001</v>
      </c>
      <c r="C153" s="1">
        <v>133.45769999999999</v>
      </c>
      <c r="D153" t="s">
        <v>788</v>
      </c>
      <c r="E153" t="s">
        <v>789</v>
      </c>
      <c r="F153" t="str">
        <f t="shared" si="36"/>
        <v>-30° 2' 7.62"</v>
      </c>
      <c r="G153" t="str">
        <f t="shared" si="37"/>
        <v>133° 27' 27.72"</v>
      </c>
      <c r="H153" s="5">
        <f t="shared" si="38"/>
        <v>30</v>
      </c>
      <c r="I153" s="5">
        <f t="shared" si="39"/>
        <v>-30</v>
      </c>
      <c r="J153" s="5">
        <f t="shared" si="40"/>
        <v>2</v>
      </c>
      <c r="K153" s="5">
        <f t="shared" si="41"/>
        <v>7.62</v>
      </c>
      <c r="L153" s="5">
        <f t="shared" si="42"/>
        <v>133</v>
      </c>
      <c r="M153" s="5">
        <f t="shared" si="43"/>
        <v>27</v>
      </c>
      <c r="N153" s="5">
        <f t="shared" si="44"/>
        <v>27.72</v>
      </c>
      <c r="O153" s="1">
        <v>165</v>
      </c>
      <c r="P153">
        <f t="shared" si="34"/>
        <v>0.16500000000000001</v>
      </c>
      <c r="Q153" s="3" t="s">
        <v>96</v>
      </c>
      <c r="R153" t="str">
        <f t="shared" si="35"/>
        <v>18/09/2015</v>
      </c>
      <c r="S153">
        <f t="shared" si="45"/>
        <v>2015</v>
      </c>
      <c r="T153">
        <f t="shared" si="46"/>
        <v>9</v>
      </c>
      <c r="U153" t="str">
        <f t="shared" si="47"/>
        <v>09</v>
      </c>
      <c r="V153">
        <f t="shared" si="48"/>
        <v>18</v>
      </c>
      <c r="W153" t="str">
        <f t="shared" si="49"/>
        <v>18</v>
      </c>
      <c r="X153" t="str">
        <f t="shared" si="50"/>
        <v>https://api.geomagnetism.ga.gov.au/agrf?latd=-30&amp;latm=2&amp;lats=7.62&amp;lond=133&amp;lonm=27&amp;lons=27.72&amp;year=2015&amp;month=09&amp;day=18&amp;elev=0.165&amp;Ein=D&amp;Ein=d</v>
      </c>
    </row>
    <row r="154" spans="1:24" ht="17" x14ac:dyDescent="0.25">
      <c r="A154" s="1" t="s">
        <v>208</v>
      </c>
      <c r="B154" s="1">
        <v>-30.996549999999999</v>
      </c>
      <c r="C154" s="1">
        <v>133.49705</v>
      </c>
      <c r="D154" t="s">
        <v>790</v>
      </c>
      <c r="E154" t="s">
        <v>791</v>
      </c>
      <c r="F154" t="str">
        <f t="shared" si="36"/>
        <v>-30° 59' 47.58"</v>
      </c>
      <c r="G154" t="str">
        <f t="shared" si="37"/>
        <v>133° 29' 49.38"</v>
      </c>
      <c r="H154" s="5">
        <f t="shared" si="38"/>
        <v>30</v>
      </c>
      <c r="I154" s="5">
        <f t="shared" si="39"/>
        <v>-30</v>
      </c>
      <c r="J154" s="5">
        <f t="shared" si="40"/>
        <v>59</v>
      </c>
      <c r="K154" s="5">
        <f t="shared" si="41"/>
        <v>47.58</v>
      </c>
      <c r="L154" s="5">
        <f t="shared" si="42"/>
        <v>133</v>
      </c>
      <c r="M154" s="5">
        <f t="shared" si="43"/>
        <v>29</v>
      </c>
      <c r="N154" s="5">
        <f t="shared" si="44"/>
        <v>49.38</v>
      </c>
      <c r="O154" s="1">
        <v>127</v>
      </c>
      <c r="P154">
        <f t="shared" si="34"/>
        <v>0.127</v>
      </c>
      <c r="Q154" s="3" t="s">
        <v>249</v>
      </c>
      <c r="R154" t="str">
        <f t="shared" si="35"/>
        <v>23/02/2015</v>
      </c>
      <c r="S154">
        <f t="shared" si="45"/>
        <v>2015</v>
      </c>
      <c r="T154">
        <f t="shared" si="46"/>
        <v>2</v>
      </c>
      <c r="U154" t="str">
        <f t="shared" si="47"/>
        <v>02</v>
      </c>
      <c r="V154">
        <f t="shared" si="48"/>
        <v>23</v>
      </c>
      <c r="W154" t="str">
        <f t="shared" si="49"/>
        <v>23</v>
      </c>
      <c r="X154" t="str">
        <f t="shared" si="50"/>
        <v>https://api.geomagnetism.ga.gov.au/agrf?latd=-30&amp;latm=59&amp;lats=47.58&amp;lond=133&amp;lonm=29&amp;lons=49.38&amp;year=2015&amp;month=02&amp;day=23&amp;elev=0.127&amp;Ein=D&amp;Ein=d</v>
      </c>
    </row>
    <row r="155" spans="1:24" ht="17" x14ac:dyDescent="0.25">
      <c r="A155" s="1" t="s">
        <v>278</v>
      </c>
      <c r="B155" s="1">
        <v>-30.50881</v>
      </c>
      <c r="C155" s="1">
        <v>133.50336999999999</v>
      </c>
      <c r="D155" t="s">
        <v>792</v>
      </c>
      <c r="E155" t="s">
        <v>793</v>
      </c>
      <c r="F155" t="str">
        <f t="shared" si="36"/>
        <v>-30° 30' 31.72"</v>
      </c>
      <c r="G155" t="str">
        <f t="shared" si="37"/>
        <v>133° 30' 12.13"</v>
      </c>
      <c r="H155" s="5">
        <f t="shared" si="38"/>
        <v>30</v>
      </c>
      <c r="I155" s="5">
        <f t="shared" si="39"/>
        <v>-30</v>
      </c>
      <c r="J155" s="5">
        <f t="shared" si="40"/>
        <v>30</v>
      </c>
      <c r="K155" s="5">
        <f t="shared" si="41"/>
        <v>31.72</v>
      </c>
      <c r="L155" s="5">
        <f t="shared" si="42"/>
        <v>133</v>
      </c>
      <c r="M155" s="5">
        <f t="shared" si="43"/>
        <v>30</v>
      </c>
      <c r="N155" s="5">
        <f t="shared" si="44"/>
        <v>12.13</v>
      </c>
      <c r="O155" s="1">
        <v>149</v>
      </c>
      <c r="P155">
        <f t="shared" si="34"/>
        <v>0.14899999999999999</v>
      </c>
      <c r="Q155" s="3" t="s">
        <v>253</v>
      </c>
      <c r="R155" t="str">
        <f t="shared" si="35"/>
        <v>15/12/2014</v>
      </c>
      <c r="S155">
        <f t="shared" si="45"/>
        <v>2014</v>
      </c>
      <c r="T155">
        <f t="shared" si="46"/>
        <v>12</v>
      </c>
      <c r="U155" t="str">
        <f t="shared" si="47"/>
        <v>12</v>
      </c>
      <c r="V155">
        <f t="shared" si="48"/>
        <v>15</v>
      </c>
      <c r="W155" t="str">
        <f t="shared" si="49"/>
        <v>15</v>
      </c>
      <c r="X155" t="str">
        <f t="shared" si="50"/>
        <v>https://api.geomagnetism.ga.gov.au/agrf?latd=-30&amp;latm=30&amp;lats=31.72&amp;lond=133&amp;lonm=30&amp;lons=12.13&amp;year=2014&amp;month=12&amp;day=15&amp;elev=0.149&amp;Ein=D&amp;Ein=d</v>
      </c>
    </row>
    <row r="156" spans="1:24" ht="17" x14ac:dyDescent="0.25">
      <c r="A156" s="1" t="s">
        <v>209</v>
      </c>
      <c r="B156" s="1">
        <v>-31.404689999999999</v>
      </c>
      <c r="C156" s="1">
        <v>133.50593000000001</v>
      </c>
      <c r="D156" t="s">
        <v>794</v>
      </c>
      <c r="E156" t="s">
        <v>795</v>
      </c>
      <c r="F156" t="str">
        <f t="shared" si="36"/>
        <v>-31° 24' 16.88"</v>
      </c>
      <c r="G156" t="str">
        <f t="shared" si="37"/>
        <v>133° 30' 21.35"</v>
      </c>
      <c r="H156" s="5">
        <f t="shared" si="38"/>
        <v>31</v>
      </c>
      <c r="I156" s="5">
        <f t="shared" si="39"/>
        <v>-31</v>
      </c>
      <c r="J156" s="5">
        <f t="shared" si="40"/>
        <v>24</v>
      </c>
      <c r="K156" s="5">
        <f t="shared" si="41"/>
        <v>16.88</v>
      </c>
      <c r="L156" s="5">
        <f t="shared" si="42"/>
        <v>133</v>
      </c>
      <c r="M156" s="5">
        <f t="shared" si="43"/>
        <v>30</v>
      </c>
      <c r="N156" s="5">
        <f t="shared" si="44"/>
        <v>21.35</v>
      </c>
      <c r="O156" s="1">
        <v>112</v>
      </c>
      <c r="P156">
        <f t="shared" si="34"/>
        <v>0.112</v>
      </c>
      <c r="Q156" s="3" t="s">
        <v>254</v>
      </c>
      <c r="R156" t="str">
        <f t="shared" si="35"/>
        <v>22/02/2015</v>
      </c>
      <c r="S156">
        <f t="shared" si="45"/>
        <v>2015</v>
      </c>
      <c r="T156">
        <f t="shared" si="46"/>
        <v>2</v>
      </c>
      <c r="U156" t="str">
        <f t="shared" si="47"/>
        <v>02</v>
      </c>
      <c r="V156">
        <f t="shared" si="48"/>
        <v>22</v>
      </c>
      <c r="W156" t="str">
        <f t="shared" si="49"/>
        <v>22</v>
      </c>
      <c r="X156" t="str">
        <f t="shared" si="50"/>
        <v>https://api.geomagnetism.ga.gov.au/agrf?latd=-31&amp;latm=24&amp;lats=16.88&amp;lond=133&amp;lonm=30&amp;lons=21.35&amp;year=2015&amp;month=02&amp;day=22&amp;elev=0.112&amp;Ein=D&amp;Ein=d</v>
      </c>
    </row>
    <row r="157" spans="1:24" ht="17" x14ac:dyDescent="0.25">
      <c r="A157" s="1" t="s">
        <v>210</v>
      </c>
      <c r="B157" s="1">
        <v>-29.525500000000001</v>
      </c>
      <c r="C157" s="1">
        <v>133.9975</v>
      </c>
      <c r="D157" t="s">
        <v>796</v>
      </c>
      <c r="E157" t="s">
        <v>797</v>
      </c>
      <c r="F157" t="str">
        <f t="shared" si="36"/>
        <v>-29° 31' 31.80"</v>
      </c>
      <c r="G157" t="str">
        <f t="shared" si="37"/>
        <v>133° 59' 51.00"</v>
      </c>
      <c r="H157" s="5">
        <f t="shared" si="38"/>
        <v>29</v>
      </c>
      <c r="I157" s="5">
        <f t="shared" si="39"/>
        <v>-29</v>
      </c>
      <c r="J157" s="5">
        <f t="shared" si="40"/>
        <v>31</v>
      </c>
      <c r="K157" s="5">
        <f t="shared" si="41"/>
        <v>31.8</v>
      </c>
      <c r="L157" s="5">
        <f t="shared" si="42"/>
        <v>133</v>
      </c>
      <c r="M157" s="5">
        <f t="shared" si="43"/>
        <v>59</v>
      </c>
      <c r="N157" s="5">
        <f t="shared" si="44"/>
        <v>51</v>
      </c>
      <c r="O157" s="1">
        <v>161</v>
      </c>
      <c r="P157">
        <f t="shared" si="34"/>
        <v>0.161</v>
      </c>
      <c r="Q157" s="3" t="s">
        <v>251</v>
      </c>
      <c r="R157" t="str">
        <f t="shared" si="35"/>
        <v>21/10/2014</v>
      </c>
      <c r="S157">
        <f t="shared" si="45"/>
        <v>2014</v>
      </c>
      <c r="T157">
        <f t="shared" si="46"/>
        <v>10</v>
      </c>
      <c r="U157" t="str">
        <f t="shared" si="47"/>
        <v>10</v>
      </c>
      <c r="V157">
        <f t="shared" si="48"/>
        <v>21</v>
      </c>
      <c r="W157" t="str">
        <f t="shared" si="49"/>
        <v>21</v>
      </c>
      <c r="X157" t="str">
        <f t="shared" si="50"/>
        <v>https://api.geomagnetism.ga.gov.au/agrf?latd=-29&amp;latm=31&amp;lats=31.8&amp;lond=133&amp;lonm=59&amp;lons=51&amp;year=2014&amp;month=10&amp;day=21&amp;elev=0.161&amp;Ein=D&amp;Ein=d</v>
      </c>
    </row>
    <row r="158" spans="1:24" ht="17" x14ac:dyDescent="0.25">
      <c r="A158" s="1" t="s">
        <v>279</v>
      </c>
      <c r="B158" s="1">
        <v>-29.52467</v>
      </c>
      <c r="C158" s="1">
        <v>134.00022999999999</v>
      </c>
      <c r="D158" t="s">
        <v>798</v>
      </c>
      <c r="E158" t="s">
        <v>799</v>
      </c>
      <c r="F158" t="str">
        <f t="shared" si="36"/>
        <v>-29° 31' 28.81"</v>
      </c>
      <c r="G158" t="str">
        <f t="shared" si="37"/>
        <v>134° 0' 0.83"</v>
      </c>
      <c r="H158" s="5">
        <f t="shared" si="38"/>
        <v>29</v>
      </c>
      <c r="I158" s="5">
        <f t="shared" si="39"/>
        <v>-29</v>
      </c>
      <c r="J158" s="5">
        <f t="shared" si="40"/>
        <v>31</v>
      </c>
      <c r="K158" s="5">
        <f t="shared" si="41"/>
        <v>28.81</v>
      </c>
      <c r="L158" s="5">
        <f t="shared" si="42"/>
        <v>134</v>
      </c>
      <c r="M158" s="5">
        <f t="shared" si="43"/>
        <v>0</v>
      </c>
      <c r="N158" s="5">
        <f t="shared" si="44"/>
        <v>0.83</v>
      </c>
      <c r="O158" s="1">
        <v>161</v>
      </c>
      <c r="P158">
        <f t="shared" si="34"/>
        <v>0.161</v>
      </c>
      <c r="Q158" s="3" t="s">
        <v>250</v>
      </c>
      <c r="R158" t="str">
        <f t="shared" si="35"/>
        <v>12/12/2014</v>
      </c>
      <c r="S158">
        <f t="shared" si="45"/>
        <v>2014</v>
      </c>
      <c r="T158">
        <f t="shared" si="46"/>
        <v>12</v>
      </c>
      <c r="U158" t="str">
        <f t="shared" si="47"/>
        <v>12</v>
      </c>
      <c r="V158">
        <f t="shared" si="48"/>
        <v>12</v>
      </c>
      <c r="W158" t="str">
        <f t="shared" si="49"/>
        <v>12</v>
      </c>
      <c r="X158" t="str">
        <f t="shared" si="50"/>
        <v>https://api.geomagnetism.ga.gov.au/agrf?latd=-29&amp;latm=31&amp;lats=28.81&amp;lond=134&amp;lonm=0&amp;lons=0.83&amp;year=2014&amp;month=12&amp;day=12&amp;elev=0.161&amp;Ein=D&amp;Ein=d</v>
      </c>
    </row>
    <row r="159" spans="1:24" ht="17" x14ac:dyDescent="0.25">
      <c r="A159" s="1" t="s">
        <v>211</v>
      </c>
      <c r="B159" s="1">
        <v>-30.017972</v>
      </c>
      <c r="C159" s="1">
        <v>133.99776199999999</v>
      </c>
      <c r="D159" t="s">
        <v>800</v>
      </c>
      <c r="E159" t="s">
        <v>801</v>
      </c>
      <c r="F159" t="str">
        <f t="shared" si="36"/>
        <v>-30° 1' 4.70"</v>
      </c>
      <c r="G159" t="str">
        <f t="shared" si="37"/>
        <v>133° 59' 51.94"</v>
      </c>
      <c r="H159" s="5">
        <f t="shared" si="38"/>
        <v>30</v>
      </c>
      <c r="I159" s="5">
        <f t="shared" si="39"/>
        <v>-30</v>
      </c>
      <c r="J159" s="5">
        <f t="shared" si="40"/>
        <v>1</v>
      </c>
      <c r="K159" s="5">
        <f t="shared" si="41"/>
        <v>4.7</v>
      </c>
      <c r="L159" s="5">
        <f t="shared" si="42"/>
        <v>133</v>
      </c>
      <c r="M159" s="5">
        <f t="shared" si="43"/>
        <v>59</v>
      </c>
      <c r="N159" s="5">
        <f t="shared" si="44"/>
        <v>51.94</v>
      </c>
      <c r="O159" s="1">
        <v>177</v>
      </c>
      <c r="P159">
        <f t="shared" si="34"/>
        <v>0.17699999999999999</v>
      </c>
      <c r="Q159" s="4" t="s">
        <v>255</v>
      </c>
      <c r="R159" t="str">
        <f t="shared" si="35"/>
        <v>22/10/2014</v>
      </c>
      <c r="S159">
        <f t="shared" si="45"/>
        <v>2014</v>
      </c>
      <c r="T159">
        <f t="shared" si="46"/>
        <v>10</v>
      </c>
      <c r="U159" t="str">
        <f t="shared" si="47"/>
        <v>10</v>
      </c>
      <c r="V159">
        <f t="shared" si="48"/>
        <v>22</v>
      </c>
      <c r="W159" t="str">
        <f t="shared" si="49"/>
        <v>22</v>
      </c>
      <c r="X159" t="str">
        <f t="shared" si="50"/>
        <v>https://api.geomagnetism.ga.gov.au/agrf?latd=-30&amp;latm=1&amp;lats=4.7&amp;lond=133&amp;lonm=59&amp;lons=51.94&amp;year=2014&amp;month=10&amp;day=22&amp;elev=0.177&amp;Ein=D&amp;Ein=d</v>
      </c>
    </row>
    <row r="160" spans="1:24" ht="17" x14ac:dyDescent="0.25">
      <c r="A160" s="1" t="s">
        <v>280</v>
      </c>
      <c r="B160" s="1">
        <v>-30.505704000000001</v>
      </c>
      <c r="C160" s="1">
        <v>134.02090000000001</v>
      </c>
      <c r="D160" t="s">
        <v>802</v>
      </c>
      <c r="E160" t="s">
        <v>803</v>
      </c>
      <c r="F160" t="str">
        <f t="shared" si="36"/>
        <v>-30° 30' 20.53"</v>
      </c>
      <c r="G160" t="str">
        <f t="shared" si="37"/>
        <v>134° 1' 15.24"</v>
      </c>
      <c r="H160" s="5">
        <f t="shared" si="38"/>
        <v>30</v>
      </c>
      <c r="I160" s="5">
        <f t="shared" si="39"/>
        <v>-30</v>
      </c>
      <c r="J160" s="5">
        <f t="shared" si="40"/>
        <v>30</v>
      </c>
      <c r="K160" s="5">
        <f t="shared" si="41"/>
        <v>20.53</v>
      </c>
      <c r="L160" s="5">
        <f t="shared" si="42"/>
        <v>134</v>
      </c>
      <c r="M160" s="5">
        <f t="shared" si="43"/>
        <v>1</v>
      </c>
      <c r="N160" s="5">
        <f t="shared" si="44"/>
        <v>15.24</v>
      </c>
      <c r="O160" s="1">
        <v>142</v>
      </c>
      <c r="P160">
        <f t="shared" si="34"/>
        <v>0.14199999999999999</v>
      </c>
      <c r="Q160" s="3" t="s">
        <v>253</v>
      </c>
      <c r="R160" t="str">
        <f t="shared" si="35"/>
        <v>15/12/2014</v>
      </c>
      <c r="S160">
        <f t="shared" si="45"/>
        <v>2014</v>
      </c>
      <c r="T160">
        <f t="shared" si="46"/>
        <v>12</v>
      </c>
      <c r="U160" t="str">
        <f t="shared" si="47"/>
        <v>12</v>
      </c>
      <c r="V160">
        <f t="shared" si="48"/>
        <v>15</v>
      </c>
      <c r="W160" t="str">
        <f t="shared" si="49"/>
        <v>15</v>
      </c>
      <c r="X160" t="str">
        <f t="shared" si="50"/>
        <v>https://api.geomagnetism.ga.gov.au/agrf?latd=-30&amp;latm=30&amp;lats=20.53&amp;lond=134&amp;lonm=1&amp;lons=15.24&amp;year=2014&amp;month=12&amp;day=15&amp;elev=0.142&amp;Ein=D&amp;Ein=d</v>
      </c>
    </row>
    <row r="161" spans="1:24" ht="17" x14ac:dyDescent="0.25">
      <c r="A161" s="1" t="s">
        <v>212</v>
      </c>
      <c r="B161" s="1">
        <v>-31.5442</v>
      </c>
      <c r="C161" s="1">
        <v>133.99881999999999</v>
      </c>
      <c r="D161" t="s">
        <v>804</v>
      </c>
      <c r="E161" t="s">
        <v>805</v>
      </c>
      <c r="F161" t="str">
        <f t="shared" si="36"/>
        <v>-31° 32' 39.12"</v>
      </c>
      <c r="G161" t="str">
        <f t="shared" si="37"/>
        <v>133° 59' 55.75"</v>
      </c>
      <c r="H161" s="5">
        <f t="shared" si="38"/>
        <v>31</v>
      </c>
      <c r="I161" s="5">
        <f t="shared" si="39"/>
        <v>-31</v>
      </c>
      <c r="J161" s="5">
        <f t="shared" si="40"/>
        <v>32</v>
      </c>
      <c r="K161" s="5">
        <f t="shared" si="41"/>
        <v>39.119999999999997</v>
      </c>
      <c r="L161" s="5">
        <f t="shared" si="42"/>
        <v>133</v>
      </c>
      <c r="M161" s="5">
        <f t="shared" si="43"/>
        <v>59</v>
      </c>
      <c r="N161" s="5">
        <f t="shared" si="44"/>
        <v>55.75</v>
      </c>
      <c r="O161" s="1">
        <v>105</v>
      </c>
      <c r="P161">
        <f t="shared" si="34"/>
        <v>0.105</v>
      </c>
      <c r="Q161" s="3" t="s">
        <v>254</v>
      </c>
      <c r="R161" t="str">
        <f t="shared" si="35"/>
        <v>22/02/2015</v>
      </c>
      <c r="S161">
        <f t="shared" si="45"/>
        <v>2015</v>
      </c>
      <c r="T161">
        <f t="shared" si="46"/>
        <v>2</v>
      </c>
      <c r="U161" t="str">
        <f t="shared" si="47"/>
        <v>02</v>
      </c>
      <c r="V161">
        <f t="shared" si="48"/>
        <v>22</v>
      </c>
      <c r="W161" t="str">
        <f t="shared" si="49"/>
        <v>22</v>
      </c>
      <c r="X161" t="str">
        <f t="shared" si="50"/>
        <v>https://api.geomagnetism.ga.gov.au/agrf?latd=-31&amp;latm=32&amp;lats=39.12&amp;lond=133&amp;lonm=59&amp;lons=55.75&amp;year=2015&amp;month=02&amp;day=22&amp;elev=0.105&amp;Ein=D&amp;Ein=d</v>
      </c>
    </row>
    <row r="162" spans="1:24" ht="17" x14ac:dyDescent="0.25">
      <c r="A162" s="1" t="s">
        <v>281</v>
      </c>
      <c r="B162" s="1">
        <v>-28.95213</v>
      </c>
      <c r="C162" s="1">
        <v>134.00083000000001</v>
      </c>
      <c r="D162" t="s">
        <v>806</v>
      </c>
      <c r="E162" t="s">
        <v>807</v>
      </c>
      <c r="F162" t="str">
        <f t="shared" si="36"/>
        <v>-28° 57' 7.67"</v>
      </c>
      <c r="G162" t="str">
        <f t="shared" si="37"/>
        <v>134° 0' 2.99"</v>
      </c>
      <c r="H162" s="5">
        <f t="shared" si="38"/>
        <v>28</v>
      </c>
      <c r="I162" s="5">
        <f t="shared" si="39"/>
        <v>-28</v>
      </c>
      <c r="J162" s="5">
        <f t="shared" si="40"/>
        <v>57</v>
      </c>
      <c r="K162" s="5">
        <f t="shared" si="41"/>
        <v>7.67</v>
      </c>
      <c r="L162" s="5">
        <f t="shared" si="42"/>
        <v>134</v>
      </c>
      <c r="M162" s="5">
        <f t="shared" si="43"/>
        <v>0</v>
      </c>
      <c r="N162" s="5">
        <f t="shared" si="44"/>
        <v>2.99</v>
      </c>
      <c r="O162" s="1">
        <v>188</v>
      </c>
      <c r="P162">
        <f t="shared" si="34"/>
        <v>0.188</v>
      </c>
      <c r="Q162" s="3" t="s">
        <v>250</v>
      </c>
      <c r="R162" t="str">
        <f t="shared" si="35"/>
        <v>12/12/2014</v>
      </c>
      <c r="S162">
        <f t="shared" si="45"/>
        <v>2014</v>
      </c>
      <c r="T162">
        <f t="shared" si="46"/>
        <v>12</v>
      </c>
      <c r="U162" t="str">
        <f t="shared" si="47"/>
        <v>12</v>
      </c>
      <c r="V162">
        <f t="shared" si="48"/>
        <v>12</v>
      </c>
      <c r="W162" t="str">
        <f t="shared" si="49"/>
        <v>12</v>
      </c>
      <c r="X162" t="str">
        <f t="shared" si="50"/>
        <v>https://api.geomagnetism.ga.gov.au/agrf?latd=-28&amp;latm=57&amp;lats=7.67&amp;lond=134&amp;lonm=0&amp;lons=2.99&amp;year=2014&amp;month=12&amp;day=12&amp;elev=0.188&amp;Ein=D&amp;Ein=d</v>
      </c>
    </row>
    <row r="163" spans="1:24" ht="17" x14ac:dyDescent="0.25">
      <c r="A163" s="1" t="s">
        <v>213</v>
      </c>
      <c r="B163" s="1">
        <v>-30.99972</v>
      </c>
      <c r="C163" s="1">
        <v>134.0581</v>
      </c>
      <c r="D163" t="s">
        <v>808</v>
      </c>
      <c r="E163" t="s">
        <v>809</v>
      </c>
      <c r="F163" t="str">
        <f t="shared" si="36"/>
        <v>-30° 59' 58.99"</v>
      </c>
      <c r="G163" t="str">
        <f t="shared" si="37"/>
        <v>134° 3' 29.16"</v>
      </c>
      <c r="H163" s="5">
        <f t="shared" si="38"/>
        <v>30</v>
      </c>
      <c r="I163" s="5">
        <f t="shared" si="39"/>
        <v>-30</v>
      </c>
      <c r="J163" s="5">
        <f t="shared" si="40"/>
        <v>59</v>
      </c>
      <c r="K163" s="5">
        <f t="shared" si="41"/>
        <v>58.99</v>
      </c>
      <c r="L163" s="5">
        <f t="shared" si="42"/>
        <v>134</v>
      </c>
      <c r="M163" s="5">
        <f t="shared" si="43"/>
        <v>3</v>
      </c>
      <c r="N163" s="5">
        <f t="shared" si="44"/>
        <v>29.16</v>
      </c>
      <c r="O163" s="1">
        <v>140</v>
      </c>
      <c r="P163">
        <f t="shared" si="34"/>
        <v>0.14000000000000001</v>
      </c>
      <c r="Q163" s="3" t="s">
        <v>249</v>
      </c>
      <c r="R163" t="str">
        <f t="shared" si="35"/>
        <v>23/02/2015</v>
      </c>
      <c r="S163">
        <f t="shared" si="45"/>
        <v>2015</v>
      </c>
      <c r="T163">
        <f t="shared" si="46"/>
        <v>2</v>
      </c>
      <c r="U163" t="str">
        <f t="shared" si="47"/>
        <v>02</v>
      </c>
      <c r="V163">
        <f t="shared" si="48"/>
        <v>23</v>
      </c>
      <c r="W163" t="str">
        <f t="shared" si="49"/>
        <v>23</v>
      </c>
      <c r="X163" t="str">
        <f t="shared" si="50"/>
        <v>https://api.geomagnetism.ga.gov.au/agrf?latd=-30&amp;latm=59&amp;lats=58.99&amp;lond=134&amp;lonm=3&amp;lons=29.16&amp;year=2015&amp;month=02&amp;day=23&amp;elev=0.14&amp;Ein=D&amp;Ein=d</v>
      </c>
    </row>
    <row r="164" spans="1:24" ht="17" x14ac:dyDescent="0.25">
      <c r="A164" s="1" t="s">
        <v>214</v>
      </c>
      <c r="B164" s="1">
        <v>-31.594249999999999</v>
      </c>
      <c r="C164" s="1">
        <v>134.49706</v>
      </c>
      <c r="D164" t="s">
        <v>810</v>
      </c>
      <c r="E164" t="s">
        <v>811</v>
      </c>
      <c r="F164" t="str">
        <f t="shared" si="36"/>
        <v>-31° 35' 39.30"</v>
      </c>
      <c r="G164" t="str">
        <f t="shared" si="37"/>
        <v>134° 29' 49.42"</v>
      </c>
      <c r="H164" s="5">
        <f t="shared" si="38"/>
        <v>31</v>
      </c>
      <c r="I164" s="5">
        <f t="shared" si="39"/>
        <v>-31</v>
      </c>
      <c r="J164" s="5">
        <f t="shared" si="40"/>
        <v>35</v>
      </c>
      <c r="K164" s="5">
        <f t="shared" si="41"/>
        <v>39.299999999999997</v>
      </c>
      <c r="L164" s="5">
        <f t="shared" si="42"/>
        <v>134</v>
      </c>
      <c r="M164" s="5">
        <f t="shared" si="43"/>
        <v>29</v>
      </c>
      <c r="N164" s="5">
        <f t="shared" si="44"/>
        <v>49.42</v>
      </c>
      <c r="O164" s="1">
        <v>208</v>
      </c>
      <c r="P164">
        <f t="shared" si="34"/>
        <v>0.20799999999999999</v>
      </c>
      <c r="Q164" s="3" t="s">
        <v>254</v>
      </c>
      <c r="R164" t="str">
        <f t="shared" si="35"/>
        <v>22/02/2015</v>
      </c>
      <c r="S164">
        <f t="shared" si="45"/>
        <v>2015</v>
      </c>
      <c r="T164">
        <f t="shared" si="46"/>
        <v>2</v>
      </c>
      <c r="U164" t="str">
        <f t="shared" si="47"/>
        <v>02</v>
      </c>
      <c r="V164">
        <f t="shared" si="48"/>
        <v>22</v>
      </c>
      <c r="W164" t="str">
        <f t="shared" si="49"/>
        <v>22</v>
      </c>
      <c r="X164" t="str">
        <f t="shared" si="50"/>
        <v>https://api.geomagnetism.ga.gov.au/agrf?latd=-31&amp;latm=35&amp;lats=39.3&amp;lond=134&amp;lonm=29&amp;lons=49.42&amp;year=2015&amp;month=02&amp;day=22&amp;elev=0.208&amp;Ein=D&amp;Ein=d</v>
      </c>
    </row>
    <row r="165" spans="1:24" ht="17" x14ac:dyDescent="0.25">
      <c r="A165" s="1" t="s">
        <v>215</v>
      </c>
      <c r="B165" s="1">
        <v>-31.992650000000001</v>
      </c>
      <c r="C165" s="1">
        <v>134.49898999999999</v>
      </c>
      <c r="D165" t="s">
        <v>812</v>
      </c>
      <c r="E165" t="s">
        <v>813</v>
      </c>
      <c r="F165" t="str">
        <f t="shared" si="36"/>
        <v>-31° 59' 33.54"</v>
      </c>
      <c r="G165" t="str">
        <f t="shared" si="37"/>
        <v>134° 29' 56.36"</v>
      </c>
      <c r="H165" s="5">
        <f t="shared" si="38"/>
        <v>31</v>
      </c>
      <c r="I165" s="5">
        <f t="shared" si="39"/>
        <v>-31</v>
      </c>
      <c r="J165" s="5">
        <f t="shared" si="40"/>
        <v>59</v>
      </c>
      <c r="K165" s="5">
        <f t="shared" si="41"/>
        <v>33.54</v>
      </c>
      <c r="L165" s="5">
        <f t="shared" si="42"/>
        <v>134</v>
      </c>
      <c r="M165" s="5">
        <f t="shared" si="43"/>
        <v>29</v>
      </c>
      <c r="N165" s="5">
        <f t="shared" si="44"/>
        <v>56.36</v>
      </c>
      <c r="O165" s="1">
        <v>93</v>
      </c>
      <c r="P165">
        <f t="shared" si="34"/>
        <v>9.2999999999999999E-2</v>
      </c>
      <c r="Q165" s="3" t="s">
        <v>254</v>
      </c>
      <c r="R165" t="str">
        <f t="shared" si="35"/>
        <v>22/02/2015</v>
      </c>
      <c r="S165">
        <f t="shared" si="45"/>
        <v>2015</v>
      </c>
      <c r="T165">
        <f t="shared" si="46"/>
        <v>2</v>
      </c>
      <c r="U165" t="str">
        <f t="shared" si="47"/>
        <v>02</v>
      </c>
      <c r="V165">
        <f t="shared" si="48"/>
        <v>22</v>
      </c>
      <c r="W165" t="str">
        <f t="shared" si="49"/>
        <v>22</v>
      </c>
      <c r="X165" t="str">
        <f t="shared" si="50"/>
        <v>https://api.geomagnetism.ga.gov.au/agrf?latd=-31&amp;latm=59&amp;lats=33.54&amp;lond=134&amp;lonm=29&amp;lons=56.36&amp;year=2015&amp;month=02&amp;day=22&amp;elev=0.093&amp;Ein=D&amp;Ein=d</v>
      </c>
    </row>
    <row r="166" spans="1:24" ht="17" x14ac:dyDescent="0.25">
      <c r="A166" s="1" t="s">
        <v>216</v>
      </c>
      <c r="B166" s="1">
        <v>-30.998909999999999</v>
      </c>
      <c r="C166" s="1">
        <v>134.62318999999999</v>
      </c>
      <c r="D166" t="s">
        <v>814</v>
      </c>
      <c r="E166" t="s">
        <v>815</v>
      </c>
      <c r="F166" t="str">
        <f t="shared" si="36"/>
        <v>-30° 59' 56.08"</v>
      </c>
      <c r="G166" t="str">
        <f t="shared" si="37"/>
        <v>134° 37' 23.48"</v>
      </c>
      <c r="H166" s="5">
        <f t="shared" si="38"/>
        <v>30</v>
      </c>
      <c r="I166" s="5">
        <f t="shared" si="39"/>
        <v>-30</v>
      </c>
      <c r="J166" s="5">
        <f t="shared" si="40"/>
        <v>59</v>
      </c>
      <c r="K166" s="5">
        <f t="shared" si="41"/>
        <v>56.08</v>
      </c>
      <c r="L166" s="5">
        <f t="shared" si="42"/>
        <v>134</v>
      </c>
      <c r="M166" s="5">
        <f t="shared" si="43"/>
        <v>37</v>
      </c>
      <c r="N166" s="5">
        <f t="shared" si="44"/>
        <v>23.48</v>
      </c>
      <c r="O166" s="1">
        <v>141</v>
      </c>
      <c r="P166">
        <f t="shared" si="34"/>
        <v>0.14099999999999999</v>
      </c>
      <c r="Q166" s="3" t="s">
        <v>249</v>
      </c>
      <c r="R166" t="str">
        <f t="shared" si="35"/>
        <v>23/02/2015</v>
      </c>
      <c r="S166">
        <f t="shared" si="45"/>
        <v>2015</v>
      </c>
      <c r="T166">
        <f t="shared" si="46"/>
        <v>2</v>
      </c>
      <c r="U166" t="str">
        <f t="shared" si="47"/>
        <v>02</v>
      </c>
      <c r="V166">
        <f t="shared" si="48"/>
        <v>23</v>
      </c>
      <c r="W166" t="str">
        <f t="shared" si="49"/>
        <v>23</v>
      </c>
      <c r="X166" t="str">
        <f t="shared" si="50"/>
        <v>https://api.geomagnetism.ga.gov.au/agrf?latd=-30&amp;latm=59&amp;lats=56.08&amp;lond=134&amp;lonm=37&amp;lons=23.48&amp;year=2015&amp;month=02&amp;day=23&amp;elev=0.141&amp;Ein=D&amp;Ein=d</v>
      </c>
    </row>
    <row r="167" spans="1:24" ht="17" x14ac:dyDescent="0.25">
      <c r="A167" s="1" t="s">
        <v>217</v>
      </c>
      <c r="B167" s="1">
        <v>-29.032066669999999</v>
      </c>
      <c r="C167" s="1">
        <v>135.01318330000001</v>
      </c>
      <c r="D167" t="s">
        <v>816</v>
      </c>
      <c r="E167" t="s">
        <v>817</v>
      </c>
      <c r="F167" t="str">
        <f t="shared" si="36"/>
        <v>-29° 1' 55.44"</v>
      </c>
      <c r="G167" t="str">
        <f t="shared" si="37"/>
        <v>135° 0' 47.46"</v>
      </c>
      <c r="H167" s="5">
        <f t="shared" si="38"/>
        <v>29</v>
      </c>
      <c r="I167" s="5">
        <f t="shared" si="39"/>
        <v>-29</v>
      </c>
      <c r="J167" s="5">
        <f t="shared" si="40"/>
        <v>1</v>
      </c>
      <c r="K167" s="5">
        <f t="shared" si="41"/>
        <v>55.44</v>
      </c>
      <c r="L167" s="5">
        <f t="shared" si="42"/>
        <v>135</v>
      </c>
      <c r="M167" s="5">
        <f t="shared" si="43"/>
        <v>0</v>
      </c>
      <c r="N167" s="5">
        <f t="shared" si="44"/>
        <v>47.46</v>
      </c>
      <c r="O167" s="1">
        <v>151</v>
      </c>
      <c r="P167">
        <f t="shared" si="34"/>
        <v>0.151</v>
      </c>
      <c r="Q167" s="3" t="s">
        <v>256</v>
      </c>
      <c r="R167" t="str">
        <f t="shared" si="35"/>
        <v>16/09/2014</v>
      </c>
      <c r="S167">
        <f t="shared" si="45"/>
        <v>2014</v>
      </c>
      <c r="T167">
        <f t="shared" si="46"/>
        <v>9</v>
      </c>
      <c r="U167" t="str">
        <f t="shared" si="47"/>
        <v>09</v>
      </c>
      <c r="V167">
        <f t="shared" si="48"/>
        <v>16</v>
      </c>
      <c r="W167" t="str">
        <f t="shared" si="49"/>
        <v>16</v>
      </c>
      <c r="X167" t="str">
        <f t="shared" si="50"/>
        <v>https://api.geomagnetism.ga.gov.au/agrf?latd=-29&amp;latm=1&amp;lats=55.44&amp;lond=135&amp;lonm=0&amp;lons=47.46&amp;year=2014&amp;month=09&amp;day=16&amp;elev=0.151&amp;Ein=D&amp;Ein=d</v>
      </c>
    </row>
    <row r="168" spans="1:24" ht="17" x14ac:dyDescent="0.25">
      <c r="A168" s="1" t="s">
        <v>218</v>
      </c>
      <c r="B168" s="1">
        <v>-29.477495000000001</v>
      </c>
      <c r="C168" s="1">
        <v>134.97322800000001</v>
      </c>
      <c r="D168" t="s">
        <v>818</v>
      </c>
      <c r="E168" t="s">
        <v>819</v>
      </c>
      <c r="F168" t="str">
        <f t="shared" si="36"/>
        <v>-29° 28' 38.98"</v>
      </c>
      <c r="G168" t="str">
        <f t="shared" si="37"/>
        <v>134° 58' 23.62"</v>
      </c>
      <c r="H168" s="5">
        <f t="shared" si="38"/>
        <v>29</v>
      </c>
      <c r="I168" s="5">
        <f t="shared" si="39"/>
        <v>-29</v>
      </c>
      <c r="J168" s="5">
        <f t="shared" si="40"/>
        <v>28</v>
      </c>
      <c r="K168" s="5">
        <f t="shared" si="41"/>
        <v>38.979999999999997</v>
      </c>
      <c r="L168" s="5">
        <f t="shared" si="42"/>
        <v>134</v>
      </c>
      <c r="M168" s="5">
        <f t="shared" si="43"/>
        <v>58</v>
      </c>
      <c r="N168" s="5">
        <f t="shared" si="44"/>
        <v>23.62</v>
      </c>
      <c r="O168" s="1">
        <v>174</v>
      </c>
      <c r="P168">
        <f t="shared" si="34"/>
        <v>0.17399999999999999</v>
      </c>
      <c r="Q168" s="3" t="s">
        <v>257</v>
      </c>
      <c r="R168" t="str">
        <f t="shared" si="35"/>
        <v>19/10/2014</v>
      </c>
      <c r="S168">
        <f t="shared" si="45"/>
        <v>2014</v>
      </c>
      <c r="T168">
        <f t="shared" si="46"/>
        <v>10</v>
      </c>
      <c r="U168" t="str">
        <f t="shared" si="47"/>
        <v>10</v>
      </c>
      <c r="V168">
        <f t="shared" si="48"/>
        <v>19</v>
      </c>
      <c r="W168" t="str">
        <f t="shared" si="49"/>
        <v>19</v>
      </c>
      <c r="X168" t="str">
        <f t="shared" si="50"/>
        <v>https://api.geomagnetism.ga.gov.au/agrf?latd=-29&amp;latm=28&amp;lats=38.98&amp;lond=134&amp;lonm=58&amp;lons=23.62&amp;year=2014&amp;month=10&amp;day=19&amp;elev=0.174&amp;Ein=D&amp;Ein=d</v>
      </c>
    </row>
    <row r="169" spans="1:24" ht="17" x14ac:dyDescent="0.25">
      <c r="A169" s="1" t="s">
        <v>219</v>
      </c>
      <c r="B169" s="1">
        <v>-30.52919</v>
      </c>
      <c r="C169" s="1">
        <v>135.01271</v>
      </c>
      <c r="D169" t="s">
        <v>820</v>
      </c>
      <c r="E169" t="s">
        <v>821</v>
      </c>
      <c r="F169" t="str">
        <f t="shared" si="36"/>
        <v>-30° 31' 45.08"</v>
      </c>
      <c r="G169" t="str">
        <f t="shared" si="37"/>
        <v>135° 0' 45.76"</v>
      </c>
      <c r="H169" s="5">
        <f t="shared" si="38"/>
        <v>30</v>
      </c>
      <c r="I169" s="5">
        <f t="shared" si="39"/>
        <v>-30</v>
      </c>
      <c r="J169" s="5">
        <f t="shared" si="40"/>
        <v>31</v>
      </c>
      <c r="K169" s="5">
        <f t="shared" si="41"/>
        <v>45.08</v>
      </c>
      <c r="L169" s="5">
        <f t="shared" si="42"/>
        <v>135</v>
      </c>
      <c r="M169" s="5">
        <f t="shared" si="43"/>
        <v>0</v>
      </c>
      <c r="N169" s="5">
        <f t="shared" si="44"/>
        <v>45.76</v>
      </c>
      <c r="O169" s="1">
        <v>147</v>
      </c>
      <c r="P169">
        <f t="shared" si="34"/>
        <v>0.14699999999999999</v>
      </c>
      <c r="Q169" s="3" t="s">
        <v>258</v>
      </c>
      <c r="R169" t="str">
        <f t="shared" si="35"/>
        <v>23/10/2014</v>
      </c>
      <c r="S169">
        <f t="shared" si="45"/>
        <v>2014</v>
      </c>
      <c r="T169">
        <f t="shared" si="46"/>
        <v>10</v>
      </c>
      <c r="U169" t="str">
        <f t="shared" si="47"/>
        <v>10</v>
      </c>
      <c r="V169">
        <f t="shared" si="48"/>
        <v>23</v>
      </c>
      <c r="W169" t="str">
        <f t="shared" si="49"/>
        <v>23</v>
      </c>
      <c r="X169" t="str">
        <f t="shared" si="50"/>
        <v>https://api.geomagnetism.ga.gov.au/agrf?latd=-30&amp;latm=31&amp;lats=45.08&amp;lond=135&amp;lonm=0&amp;lons=45.76&amp;year=2014&amp;month=10&amp;day=23&amp;elev=0.147&amp;Ein=D&amp;Ein=d</v>
      </c>
    </row>
    <row r="170" spans="1:24" ht="17" x14ac:dyDescent="0.25">
      <c r="A170" s="1" t="s">
        <v>220</v>
      </c>
      <c r="B170" s="1">
        <v>-29.995249999999999</v>
      </c>
      <c r="C170" s="1">
        <v>134.99539999999999</v>
      </c>
      <c r="D170" t="s">
        <v>822</v>
      </c>
      <c r="E170" t="s">
        <v>823</v>
      </c>
      <c r="F170" t="str">
        <f t="shared" si="36"/>
        <v>-29° 59' 42.90"</v>
      </c>
      <c r="G170" t="str">
        <f t="shared" si="37"/>
        <v>134° 59' 43.44"</v>
      </c>
      <c r="H170" s="5">
        <f t="shared" si="38"/>
        <v>29</v>
      </c>
      <c r="I170" s="5">
        <f t="shared" si="39"/>
        <v>-29</v>
      </c>
      <c r="J170" s="5">
        <f t="shared" si="40"/>
        <v>59</v>
      </c>
      <c r="K170" s="5">
        <f t="shared" si="41"/>
        <v>42.9</v>
      </c>
      <c r="L170" s="5">
        <f t="shared" si="42"/>
        <v>134</v>
      </c>
      <c r="M170" s="5">
        <f t="shared" si="43"/>
        <v>59</v>
      </c>
      <c r="N170" s="5">
        <f t="shared" si="44"/>
        <v>43.44</v>
      </c>
      <c r="O170" s="1">
        <v>149</v>
      </c>
      <c r="P170">
        <f t="shared" si="34"/>
        <v>0.14899999999999999</v>
      </c>
      <c r="Q170" s="3" t="s">
        <v>259</v>
      </c>
      <c r="R170" t="str">
        <f t="shared" si="35"/>
        <v>20/10/2014</v>
      </c>
      <c r="S170">
        <f t="shared" si="45"/>
        <v>2014</v>
      </c>
      <c r="T170">
        <f t="shared" si="46"/>
        <v>10</v>
      </c>
      <c r="U170" t="str">
        <f t="shared" si="47"/>
        <v>10</v>
      </c>
      <c r="V170">
        <f t="shared" si="48"/>
        <v>20</v>
      </c>
      <c r="W170" t="str">
        <f t="shared" si="49"/>
        <v>20</v>
      </c>
      <c r="X170" t="str">
        <f t="shared" si="50"/>
        <v>https://api.geomagnetism.ga.gov.au/agrf?latd=-29&amp;latm=59&amp;lats=42.9&amp;lond=134&amp;lonm=59&amp;lons=43.44&amp;year=2014&amp;month=10&amp;day=20&amp;elev=0.149&amp;Ein=D&amp;Ein=d</v>
      </c>
    </row>
    <row r="171" spans="1:24" ht="17" x14ac:dyDescent="0.25">
      <c r="A171" s="1" t="s">
        <v>221</v>
      </c>
      <c r="B171" s="1">
        <v>-31.992280000000001</v>
      </c>
      <c r="C171" s="1">
        <v>135.00055</v>
      </c>
      <c r="D171" t="s">
        <v>824</v>
      </c>
      <c r="E171" t="s">
        <v>825</v>
      </c>
      <c r="F171" t="str">
        <f t="shared" si="36"/>
        <v>-31° 59' 32.21"</v>
      </c>
      <c r="G171" t="str">
        <f t="shared" si="37"/>
        <v>135° 0' 1.98"</v>
      </c>
      <c r="H171" s="5">
        <f t="shared" si="38"/>
        <v>31</v>
      </c>
      <c r="I171" s="5">
        <f t="shared" si="39"/>
        <v>-31</v>
      </c>
      <c r="J171" s="5">
        <f t="shared" si="40"/>
        <v>59</v>
      </c>
      <c r="K171" s="5">
        <f t="shared" si="41"/>
        <v>32.21</v>
      </c>
      <c r="L171" s="5">
        <f t="shared" si="42"/>
        <v>135</v>
      </c>
      <c r="M171" s="5">
        <f t="shared" si="43"/>
        <v>0</v>
      </c>
      <c r="N171" s="5">
        <f t="shared" si="44"/>
        <v>1.98</v>
      </c>
      <c r="O171" s="1">
        <v>188</v>
      </c>
      <c r="P171">
        <f t="shared" si="34"/>
        <v>0.188</v>
      </c>
      <c r="Q171" s="3" t="s">
        <v>260</v>
      </c>
      <c r="R171" t="str">
        <f t="shared" si="35"/>
        <v>17/02/2015</v>
      </c>
      <c r="S171">
        <f t="shared" si="45"/>
        <v>2015</v>
      </c>
      <c r="T171">
        <f t="shared" si="46"/>
        <v>2</v>
      </c>
      <c r="U171" t="str">
        <f t="shared" si="47"/>
        <v>02</v>
      </c>
      <c r="V171">
        <f t="shared" si="48"/>
        <v>17</v>
      </c>
      <c r="W171" t="str">
        <f t="shared" si="49"/>
        <v>17</v>
      </c>
      <c r="X171" t="str">
        <f t="shared" si="50"/>
        <v>https://api.geomagnetism.ga.gov.au/agrf?latd=-31&amp;latm=59&amp;lats=32.21&amp;lond=135&amp;lonm=0&amp;lons=1.98&amp;year=2015&amp;month=02&amp;day=17&amp;elev=0.188&amp;Ein=D&amp;Ein=d</v>
      </c>
    </row>
    <row r="172" spans="1:24" ht="17" x14ac:dyDescent="0.25">
      <c r="A172" s="1" t="s">
        <v>222</v>
      </c>
      <c r="B172" s="1">
        <v>-30.997420000000002</v>
      </c>
      <c r="C172" s="1">
        <v>134.974198</v>
      </c>
      <c r="D172" t="s">
        <v>826</v>
      </c>
      <c r="E172" t="s">
        <v>827</v>
      </c>
      <c r="F172" t="str">
        <f t="shared" si="36"/>
        <v>-30° 59' 50.71"</v>
      </c>
      <c r="G172" t="str">
        <f t="shared" si="37"/>
        <v>134° 58' 27.11"</v>
      </c>
      <c r="H172" s="5">
        <f t="shared" si="38"/>
        <v>30</v>
      </c>
      <c r="I172" s="5">
        <f t="shared" si="39"/>
        <v>-30</v>
      </c>
      <c r="J172" s="5">
        <f t="shared" si="40"/>
        <v>59</v>
      </c>
      <c r="K172" s="5">
        <f t="shared" si="41"/>
        <v>50.71</v>
      </c>
      <c r="L172" s="5">
        <f t="shared" si="42"/>
        <v>134</v>
      </c>
      <c r="M172" s="5">
        <f t="shared" si="43"/>
        <v>58</v>
      </c>
      <c r="N172" s="5">
        <f t="shared" si="44"/>
        <v>27.11</v>
      </c>
      <c r="O172" s="1">
        <v>151</v>
      </c>
      <c r="P172">
        <f t="shared" si="34"/>
        <v>0.151</v>
      </c>
      <c r="Q172" s="3" t="s">
        <v>258</v>
      </c>
      <c r="R172" t="str">
        <f t="shared" si="35"/>
        <v>23/10/2014</v>
      </c>
      <c r="S172">
        <f t="shared" si="45"/>
        <v>2014</v>
      </c>
      <c r="T172">
        <f t="shared" si="46"/>
        <v>10</v>
      </c>
      <c r="U172" t="str">
        <f t="shared" si="47"/>
        <v>10</v>
      </c>
      <c r="V172">
        <f t="shared" si="48"/>
        <v>23</v>
      </c>
      <c r="W172" t="str">
        <f t="shared" si="49"/>
        <v>23</v>
      </c>
      <c r="X172" t="str">
        <f t="shared" si="50"/>
        <v>https://api.geomagnetism.ga.gov.au/agrf?latd=-30&amp;latm=59&amp;lats=50.71&amp;lond=134&amp;lonm=58&amp;lons=27.11&amp;year=2014&amp;month=10&amp;day=23&amp;elev=0.151&amp;Ein=D&amp;Ein=d</v>
      </c>
    </row>
    <row r="173" spans="1:24" ht="17" x14ac:dyDescent="0.25">
      <c r="A173" s="1" t="s">
        <v>223</v>
      </c>
      <c r="B173" s="1">
        <v>-31.526199999999999</v>
      </c>
      <c r="C173" s="1">
        <v>135.04822999999999</v>
      </c>
      <c r="D173" t="s">
        <v>828</v>
      </c>
      <c r="E173" t="s">
        <v>829</v>
      </c>
      <c r="F173" t="str">
        <f t="shared" si="36"/>
        <v>-31° 31' 34.32"</v>
      </c>
      <c r="G173" t="str">
        <f t="shared" si="37"/>
        <v>135° 2' 53.63"</v>
      </c>
      <c r="H173" s="5">
        <f t="shared" si="38"/>
        <v>31</v>
      </c>
      <c r="I173" s="5">
        <f t="shared" si="39"/>
        <v>-31</v>
      </c>
      <c r="J173" s="5">
        <f t="shared" si="40"/>
        <v>31</v>
      </c>
      <c r="K173" s="5">
        <f t="shared" si="41"/>
        <v>34.32</v>
      </c>
      <c r="L173" s="5">
        <f t="shared" si="42"/>
        <v>135</v>
      </c>
      <c r="M173" s="5">
        <f t="shared" si="43"/>
        <v>2</v>
      </c>
      <c r="N173" s="5">
        <f t="shared" si="44"/>
        <v>53.63</v>
      </c>
      <c r="O173" s="1">
        <v>147</v>
      </c>
      <c r="P173">
        <f t="shared" si="34"/>
        <v>0.14699999999999999</v>
      </c>
      <c r="Q173" s="3" t="s">
        <v>261</v>
      </c>
      <c r="R173" t="str">
        <f t="shared" si="35"/>
        <v>18/02/2015</v>
      </c>
      <c r="S173">
        <f t="shared" si="45"/>
        <v>2015</v>
      </c>
      <c r="T173">
        <f t="shared" si="46"/>
        <v>2</v>
      </c>
      <c r="U173" t="str">
        <f t="shared" si="47"/>
        <v>02</v>
      </c>
      <c r="V173">
        <f t="shared" si="48"/>
        <v>18</v>
      </c>
      <c r="W173" t="str">
        <f t="shared" si="49"/>
        <v>18</v>
      </c>
      <c r="X173" t="str">
        <f t="shared" si="50"/>
        <v>https://api.geomagnetism.ga.gov.au/agrf?latd=-31&amp;latm=31&amp;lats=34.32&amp;lond=135&amp;lonm=2&amp;lons=53.63&amp;year=2015&amp;month=02&amp;day=18&amp;elev=0.147&amp;Ein=D&amp;Ein=d</v>
      </c>
    </row>
    <row r="174" spans="1:24" ht="17" x14ac:dyDescent="0.25">
      <c r="A174" s="1" t="s">
        <v>224</v>
      </c>
      <c r="B174" s="1">
        <v>-31.52936</v>
      </c>
      <c r="C174" s="1">
        <v>135.04911999999999</v>
      </c>
      <c r="D174" t="s">
        <v>830</v>
      </c>
      <c r="E174" t="s">
        <v>831</v>
      </c>
      <c r="F174" t="str">
        <f t="shared" si="36"/>
        <v>-31° 31' 45.70"</v>
      </c>
      <c r="G174" t="str">
        <f t="shared" si="37"/>
        <v>135° 2' 56.83"</v>
      </c>
      <c r="H174" s="5">
        <f t="shared" si="38"/>
        <v>31</v>
      </c>
      <c r="I174" s="5">
        <f t="shared" si="39"/>
        <v>-31</v>
      </c>
      <c r="J174" s="5">
        <f t="shared" si="40"/>
        <v>31</v>
      </c>
      <c r="K174" s="5">
        <f t="shared" si="41"/>
        <v>45.7</v>
      </c>
      <c r="L174" s="5">
        <f t="shared" si="42"/>
        <v>135</v>
      </c>
      <c r="M174" s="5">
        <f t="shared" si="43"/>
        <v>2</v>
      </c>
      <c r="N174" s="5">
        <f t="shared" si="44"/>
        <v>56.83</v>
      </c>
      <c r="O174" s="1">
        <v>147</v>
      </c>
      <c r="P174">
        <f t="shared" si="34"/>
        <v>0.14699999999999999</v>
      </c>
      <c r="Q174" s="3" t="s">
        <v>262</v>
      </c>
      <c r="R174" t="str">
        <f t="shared" si="35"/>
        <v>19/11/2015</v>
      </c>
      <c r="S174">
        <f t="shared" si="45"/>
        <v>2015</v>
      </c>
      <c r="T174">
        <f t="shared" si="46"/>
        <v>11</v>
      </c>
      <c r="U174" t="str">
        <f t="shared" si="47"/>
        <v>11</v>
      </c>
      <c r="V174">
        <f t="shared" si="48"/>
        <v>19</v>
      </c>
      <c r="W174" t="str">
        <f t="shared" si="49"/>
        <v>19</v>
      </c>
      <c r="X174" t="str">
        <f t="shared" si="50"/>
        <v>https://api.geomagnetism.ga.gov.au/agrf?latd=-31&amp;latm=31&amp;lats=45.7&amp;lond=135&amp;lonm=2&amp;lons=56.83&amp;year=2015&amp;month=11&amp;day=19&amp;elev=0.147&amp;Ein=D&amp;Ein=d</v>
      </c>
    </row>
    <row r="175" spans="1:24" ht="17" x14ac:dyDescent="0.25">
      <c r="A175" s="1" t="s">
        <v>225</v>
      </c>
      <c r="B175" s="1">
        <v>-30.497543</v>
      </c>
      <c r="C175" s="1">
        <v>135.45882700000001</v>
      </c>
      <c r="D175" t="s">
        <v>832</v>
      </c>
      <c r="E175" t="s">
        <v>833</v>
      </c>
      <c r="F175" t="str">
        <f t="shared" si="36"/>
        <v>-30° 29' 51.15"</v>
      </c>
      <c r="G175" t="str">
        <f t="shared" si="37"/>
        <v>135° 27' 31.78"</v>
      </c>
      <c r="H175" s="5">
        <f t="shared" si="38"/>
        <v>30</v>
      </c>
      <c r="I175" s="5">
        <f t="shared" si="39"/>
        <v>-30</v>
      </c>
      <c r="J175" s="5">
        <f t="shared" si="40"/>
        <v>29</v>
      </c>
      <c r="K175" s="5">
        <f t="shared" si="41"/>
        <v>51.15</v>
      </c>
      <c r="L175" s="5">
        <f t="shared" si="42"/>
        <v>135</v>
      </c>
      <c r="M175" s="5">
        <f t="shared" si="43"/>
        <v>27</v>
      </c>
      <c r="N175" s="5">
        <f t="shared" si="44"/>
        <v>31.78</v>
      </c>
      <c r="O175" s="1">
        <v>127</v>
      </c>
      <c r="P175">
        <f t="shared" si="34"/>
        <v>0.127</v>
      </c>
      <c r="Q175" s="4" t="s">
        <v>259</v>
      </c>
      <c r="R175" t="str">
        <f t="shared" si="35"/>
        <v>20/10/2014</v>
      </c>
      <c r="S175">
        <f t="shared" si="45"/>
        <v>2014</v>
      </c>
      <c r="T175">
        <f t="shared" si="46"/>
        <v>10</v>
      </c>
      <c r="U175" t="str">
        <f t="shared" si="47"/>
        <v>10</v>
      </c>
      <c r="V175">
        <f t="shared" si="48"/>
        <v>20</v>
      </c>
      <c r="W175" t="str">
        <f t="shared" si="49"/>
        <v>20</v>
      </c>
      <c r="X175" t="str">
        <f t="shared" si="50"/>
        <v>https://api.geomagnetism.ga.gov.au/agrf?latd=-30&amp;latm=29&amp;lats=51.15&amp;lond=135&amp;lonm=27&amp;lons=31.78&amp;year=2014&amp;month=10&amp;day=20&amp;elev=0.127&amp;Ein=D&amp;Ein=d</v>
      </c>
    </row>
    <row r="176" spans="1:24" ht="17" x14ac:dyDescent="0.25">
      <c r="A176" s="1" t="s">
        <v>226</v>
      </c>
      <c r="B176" s="1">
        <v>-29.52439</v>
      </c>
      <c r="C176" s="1">
        <v>135.49787000000001</v>
      </c>
      <c r="D176" t="s">
        <v>834</v>
      </c>
      <c r="E176" t="s">
        <v>835</v>
      </c>
      <c r="F176" t="str">
        <f t="shared" si="36"/>
        <v>-29° 31' 27.80"</v>
      </c>
      <c r="G176" t="str">
        <f t="shared" si="37"/>
        <v>135° 29' 52.33"</v>
      </c>
      <c r="H176" s="5">
        <f t="shared" si="38"/>
        <v>29</v>
      </c>
      <c r="I176" s="5">
        <f t="shared" si="39"/>
        <v>-29</v>
      </c>
      <c r="J176" s="5">
        <f t="shared" si="40"/>
        <v>31</v>
      </c>
      <c r="K176" s="5">
        <f t="shared" si="41"/>
        <v>27.8</v>
      </c>
      <c r="L176" s="5">
        <f t="shared" si="42"/>
        <v>135</v>
      </c>
      <c r="M176" s="5">
        <f t="shared" si="43"/>
        <v>29</v>
      </c>
      <c r="N176" s="5">
        <f t="shared" si="44"/>
        <v>52.33</v>
      </c>
      <c r="O176" s="1">
        <v>162</v>
      </c>
      <c r="P176">
        <f t="shared" si="34"/>
        <v>0.16200000000000001</v>
      </c>
      <c r="Q176" s="3" t="s">
        <v>257</v>
      </c>
      <c r="R176" t="str">
        <f t="shared" si="35"/>
        <v>19/10/2014</v>
      </c>
      <c r="S176">
        <f t="shared" si="45"/>
        <v>2014</v>
      </c>
      <c r="T176">
        <f t="shared" si="46"/>
        <v>10</v>
      </c>
      <c r="U176" t="str">
        <f t="shared" si="47"/>
        <v>10</v>
      </c>
      <c r="V176">
        <f t="shared" si="48"/>
        <v>19</v>
      </c>
      <c r="W176" t="str">
        <f t="shared" si="49"/>
        <v>19</v>
      </c>
      <c r="X176" t="str">
        <f t="shared" si="50"/>
        <v>https://api.geomagnetism.ga.gov.au/agrf?latd=-29&amp;latm=31&amp;lats=27.8&amp;lond=135&amp;lonm=29&amp;lons=52.33&amp;year=2014&amp;month=10&amp;day=19&amp;elev=0.162&amp;Ein=D&amp;Ein=d</v>
      </c>
    </row>
    <row r="177" spans="1:24" ht="17" x14ac:dyDescent="0.25">
      <c r="A177" s="1" t="s">
        <v>227</v>
      </c>
      <c r="B177" s="1">
        <v>-31.491520000000001</v>
      </c>
      <c r="C177" s="1">
        <v>135.40694999999999</v>
      </c>
      <c r="D177" t="s">
        <v>836</v>
      </c>
      <c r="E177" t="s">
        <v>837</v>
      </c>
      <c r="F177" t="str">
        <f t="shared" si="36"/>
        <v>-31° 29' 29.47"</v>
      </c>
      <c r="G177" t="str">
        <f t="shared" si="37"/>
        <v>135° 24' 25.02"</v>
      </c>
      <c r="H177" s="5">
        <f t="shared" si="38"/>
        <v>31</v>
      </c>
      <c r="I177" s="5">
        <f t="shared" si="39"/>
        <v>-31</v>
      </c>
      <c r="J177" s="5">
        <f t="shared" si="40"/>
        <v>29</v>
      </c>
      <c r="K177" s="5">
        <f t="shared" si="41"/>
        <v>29.47</v>
      </c>
      <c r="L177" s="5">
        <f t="shared" si="42"/>
        <v>135</v>
      </c>
      <c r="M177" s="5">
        <f t="shared" si="43"/>
        <v>24</v>
      </c>
      <c r="N177" s="5">
        <f t="shared" si="44"/>
        <v>25.02</v>
      </c>
      <c r="O177" s="1">
        <v>133</v>
      </c>
      <c r="P177">
        <f t="shared" si="34"/>
        <v>0.13300000000000001</v>
      </c>
      <c r="Q177" s="3" t="s">
        <v>261</v>
      </c>
      <c r="R177" t="str">
        <f t="shared" si="35"/>
        <v>18/02/2015</v>
      </c>
      <c r="S177">
        <f t="shared" si="45"/>
        <v>2015</v>
      </c>
      <c r="T177">
        <f t="shared" si="46"/>
        <v>2</v>
      </c>
      <c r="U177" t="str">
        <f t="shared" si="47"/>
        <v>02</v>
      </c>
      <c r="V177">
        <f t="shared" si="48"/>
        <v>18</v>
      </c>
      <c r="W177" t="str">
        <f t="shared" si="49"/>
        <v>18</v>
      </c>
      <c r="X177" t="str">
        <f t="shared" si="50"/>
        <v>https://api.geomagnetism.ga.gov.au/agrf?latd=-31&amp;latm=29&amp;lats=29.47&amp;lond=135&amp;lonm=24&amp;lons=25.02&amp;year=2015&amp;month=02&amp;day=18&amp;elev=0.133&amp;Ein=D&amp;Ein=d</v>
      </c>
    </row>
    <row r="178" spans="1:24" ht="17" x14ac:dyDescent="0.25">
      <c r="A178" s="1" t="s">
        <v>282</v>
      </c>
      <c r="B178" s="1">
        <v>-30.938479999999998</v>
      </c>
      <c r="C178" s="1">
        <v>135.48641000000001</v>
      </c>
      <c r="D178" t="s">
        <v>838</v>
      </c>
      <c r="E178" t="s">
        <v>839</v>
      </c>
      <c r="F178" t="str">
        <f t="shared" si="36"/>
        <v>-30° 56' 18.53"</v>
      </c>
      <c r="G178" t="str">
        <f t="shared" si="37"/>
        <v>135° 29' 11.08"</v>
      </c>
      <c r="H178" s="5">
        <f t="shared" si="38"/>
        <v>30</v>
      </c>
      <c r="I178" s="5">
        <f t="shared" si="39"/>
        <v>-30</v>
      </c>
      <c r="J178" s="5">
        <f t="shared" si="40"/>
        <v>56</v>
      </c>
      <c r="K178" s="5">
        <f t="shared" si="41"/>
        <v>18.53</v>
      </c>
      <c r="L178" s="5">
        <f t="shared" si="42"/>
        <v>135</v>
      </c>
      <c r="M178" s="5">
        <f t="shared" si="43"/>
        <v>29</v>
      </c>
      <c r="N178" s="5">
        <f t="shared" si="44"/>
        <v>11.08</v>
      </c>
      <c r="O178" s="1">
        <v>128</v>
      </c>
      <c r="P178">
        <f t="shared" si="34"/>
        <v>0.128</v>
      </c>
      <c r="Q178" s="3" t="s">
        <v>263</v>
      </c>
      <c r="R178" t="str">
        <f t="shared" si="35"/>
        <v>16/12/2014</v>
      </c>
      <c r="S178">
        <f t="shared" si="45"/>
        <v>2014</v>
      </c>
      <c r="T178">
        <f t="shared" si="46"/>
        <v>12</v>
      </c>
      <c r="U178" t="str">
        <f t="shared" si="47"/>
        <v>12</v>
      </c>
      <c r="V178">
        <f t="shared" si="48"/>
        <v>16</v>
      </c>
      <c r="W178" t="str">
        <f t="shared" si="49"/>
        <v>16</v>
      </c>
      <c r="X178" t="str">
        <f t="shared" si="50"/>
        <v>https://api.geomagnetism.ga.gov.au/agrf?latd=-30&amp;latm=56&amp;lats=18.53&amp;lond=135&amp;lonm=29&amp;lons=11.08&amp;year=2014&amp;month=12&amp;day=16&amp;elev=0.128&amp;Ein=D&amp;Ein=d</v>
      </c>
    </row>
    <row r="179" spans="1:24" ht="17" x14ac:dyDescent="0.25">
      <c r="A179" s="1" t="s">
        <v>283</v>
      </c>
      <c r="B179" s="1">
        <v>-30.938490000000002</v>
      </c>
      <c r="C179" s="1">
        <v>135.48639</v>
      </c>
      <c r="D179" t="s">
        <v>840</v>
      </c>
      <c r="E179" t="s">
        <v>841</v>
      </c>
      <c r="F179" t="str">
        <f t="shared" si="36"/>
        <v>-30° 56' 18.56"</v>
      </c>
      <c r="G179" t="str">
        <f t="shared" si="37"/>
        <v>135° 29' 11.00"</v>
      </c>
      <c r="H179" s="5">
        <f t="shared" si="38"/>
        <v>30</v>
      </c>
      <c r="I179" s="5">
        <f t="shared" si="39"/>
        <v>-30</v>
      </c>
      <c r="J179" s="5">
        <f t="shared" si="40"/>
        <v>56</v>
      </c>
      <c r="K179" s="5">
        <f t="shared" si="41"/>
        <v>18.559999999999999</v>
      </c>
      <c r="L179" s="5">
        <f t="shared" si="42"/>
        <v>135</v>
      </c>
      <c r="M179" s="5">
        <f t="shared" si="43"/>
        <v>29</v>
      </c>
      <c r="N179" s="5">
        <f t="shared" si="44"/>
        <v>11</v>
      </c>
      <c r="O179" s="1">
        <v>128</v>
      </c>
      <c r="P179">
        <f t="shared" si="34"/>
        <v>0.128</v>
      </c>
      <c r="Q179" s="3" t="s">
        <v>263</v>
      </c>
      <c r="R179" t="str">
        <f t="shared" si="35"/>
        <v>16/12/2014</v>
      </c>
      <c r="S179">
        <f t="shared" si="45"/>
        <v>2014</v>
      </c>
      <c r="T179">
        <f t="shared" si="46"/>
        <v>12</v>
      </c>
      <c r="U179" t="str">
        <f t="shared" si="47"/>
        <v>12</v>
      </c>
      <c r="V179">
        <f t="shared" si="48"/>
        <v>16</v>
      </c>
      <c r="W179" t="str">
        <f t="shared" si="49"/>
        <v>16</v>
      </c>
      <c r="X179" t="str">
        <f t="shared" si="50"/>
        <v>https://api.geomagnetism.ga.gov.au/agrf?latd=-30&amp;latm=56&amp;lats=18.56&amp;lond=135&amp;lonm=29&amp;lons=11&amp;year=2014&amp;month=12&amp;day=16&amp;elev=0.128&amp;Ein=D&amp;Ein=d</v>
      </c>
    </row>
    <row r="180" spans="1:24" ht="17" x14ac:dyDescent="0.25">
      <c r="A180" s="1" t="s">
        <v>284</v>
      </c>
      <c r="B180" s="1">
        <v>-30.938490000000002</v>
      </c>
      <c r="C180" s="1">
        <v>135.48639</v>
      </c>
      <c r="D180" t="s">
        <v>840</v>
      </c>
      <c r="E180" t="s">
        <v>841</v>
      </c>
      <c r="F180" t="str">
        <f t="shared" si="36"/>
        <v>-30° 56' 18.56"</v>
      </c>
      <c r="G180" t="str">
        <f t="shared" si="37"/>
        <v>135° 29' 11.00"</v>
      </c>
      <c r="H180" s="5">
        <f t="shared" si="38"/>
        <v>30</v>
      </c>
      <c r="I180" s="5">
        <f t="shared" si="39"/>
        <v>-30</v>
      </c>
      <c r="J180" s="5">
        <f t="shared" si="40"/>
        <v>56</v>
      </c>
      <c r="K180" s="5">
        <f t="shared" si="41"/>
        <v>18.559999999999999</v>
      </c>
      <c r="L180" s="5">
        <f t="shared" si="42"/>
        <v>135</v>
      </c>
      <c r="M180" s="5">
        <f t="shared" si="43"/>
        <v>29</v>
      </c>
      <c r="N180" s="5">
        <f t="shared" si="44"/>
        <v>11</v>
      </c>
      <c r="O180" s="1">
        <v>128</v>
      </c>
      <c r="P180">
        <f t="shared" si="34"/>
        <v>0.128</v>
      </c>
      <c r="Q180" s="3" t="s">
        <v>263</v>
      </c>
      <c r="R180" t="str">
        <f t="shared" si="35"/>
        <v>16/12/2014</v>
      </c>
      <c r="S180">
        <f t="shared" si="45"/>
        <v>2014</v>
      </c>
      <c r="T180">
        <f t="shared" si="46"/>
        <v>12</v>
      </c>
      <c r="U180" t="str">
        <f t="shared" si="47"/>
        <v>12</v>
      </c>
      <c r="V180">
        <f t="shared" si="48"/>
        <v>16</v>
      </c>
      <c r="W180" t="str">
        <f t="shared" si="49"/>
        <v>16</v>
      </c>
      <c r="X180" t="str">
        <f t="shared" si="50"/>
        <v>https://api.geomagnetism.ga.gov.au/agrf?latd=-30&amp;latm=56&amp;lats=18.56&amp;lond=135&amp;lonm=29&amp;lons=11&amp;year=2014&amp;month=12&amp;day=16&amp;elev=0.128&amp;Ein=D&amp;Ein=d</v>
      </c>
    </row>
    <row r="181" spans="1:24" ht="17" x14ac:dyDescent="0.25">
      <c r="A181" s="1" t="s">
        <v>228</v>
      </c>
      <c r="B181" s="1">
        <v>-31.898399999999999</v>
      </c>
      <c r="C181" s="1">
        <v>135.53200000000001</v>
      </c>
      <c r="D181" t="s">
        <v>842</v>
      </c>
      <c r="E181" t="s">
        <v>843</v>
      </c>
      <c r="F181" t="str">
        <f t="shared" si="36"/>
        <v>-31° 53' 54.24"</v>
      </c>
      <c r="G181" t="str">
        <f t="shared" si="37"/>
        <v>135° 31' 55.20"</v>
      </c>
      <c r="H181" s="5">
        <f t="shared" si="38"/>
        <v>31</v>
      </c>
      <c r="I181" s="5">
        <f t="shared" si="39"/>
        <v>-31</v>
      </c>
      <c r="J181" s="5">
        <f t="shared" si="40"/>
        <v>53</v>
      </c>
      <c r="K181" s="5">
        <f t="shared" si="41"/>
        <v>54.24</v>
      </c>
      <c r="L181" s="5">
        <f t="shared" si="42"/>
        <v>135</v>
      </c>
      <c r="M181" s="5">
        <f t="shared" si="43"/>
        <v>31</v>
      </c>
      <c r="N181" s="5">
        <f t="shared" si="44"/>
        <v>55.2</v>
      </c>
      <c r="O181" s="1">
        <v>193</v>
      </c>
      <c r="P181">
        <f t="shared" ref="P181:P244" si="51">O181/1000</f>
        <v>0.193</v>
      </c>
      <c r="Q181" s="3" t="s">
        <v>261</v>
      </c>
      <c r="R181" t="str">
        <f t="shared" ref="R181:R244" si="52">TEXT(DATEVALUE(LEFT(Q181,10)), "dd/mm/yyyy")</f>
        <v>18/02/2015</v>
      </c>
      <c r="S181">
        <f t="shared" si="45"/>
        <v>2015</v>
      </c>
      <c r="T181">
        <f t="shared" si="46"/>
        <v>2</v>
      </c>
      <c r="U181" t="str">
        <f t="shared" si="47"/>
        <v>02</v>
      </c>
      <c r="V181">
        <f t="shared" si="48"/>
        <v>18</v>
      </c>
      <c r="W181" t="str">
        <f t="shared" si="49"/>
        <v>18</v>
      </c>
      <c r="X181" t="str">
        <f t="shared" si="50"/>
        <v>https://api.geomagnetism.ga.gov.au/agrf?latd=-31&amp;latm=53&amp;lats=54.24&amp;lond=135&amp;lonm=31&amp;lons=55.2&amp;year=2015&amp;month=02&amp;day=18&amp;elev=0.193&amp;Ein=D&amp;Ein=d</v>
      </c>
    </row>
    <row r="182" spans="1:24" ht="17" x14ac:dyDescent="0.25">
      <c r="A182" s="1" t="s">
        <v>229</v>
      </c>
      <c r="B182" s="1">
        <v>-31.897469999999998</v>
      </c>
      <c r="C182" s="1">
        <v>135.51937000000001</v>
      </c>
      <c r="D182" t="s">
        <v>844</v>
      </c>
      <c r="E182" t="s">
        <v>845</v>
      </c>
      <c r="F182" t="str">
        <f t="shared" si="36"/>
        <v>-31° 53' 50.89"</v>
      </c>
      <c r="G182" t="str">
        <f t="shared" si="37"/>
        <v>135° 31' 9.73"</v>
      </c>
      <c r="H182" s="5">
        <f t="shared" si="38"/>
        <v>31</v>
      </c>
      <c r="I182" s="5">
        <f t="shared" si="39"/>
        <v>-31</v>
      </c>
      <c r="J182" s="5">
        <f t="shared" si="40"/>
        <v>53</v>
      </c>
      <c r="K182" s="5">
        <f t="shared" si="41"/>
        <v>50.89</v>
      </c>
      <c r="L182" s="5">
        <f t="shared" si="42"/>
        <v>135</v>
      </c>
      <c r="M182" s="5">
        <f t="shared" si="43"/>
        <v>31</v>
      </c>
      <c r="N182" s="5">
        <f t="shared" si="44"/>
        <v>9.73</v>
      </c>
      <c r="O182" s="1">
        <v>193</v>
      </c>
      <c r="P182">
        <f t="shared" si="51"/>
        <v>0.193</v>
      </c>
      <c r="Q182" s="3" t="s">
        <v>262</v>
      </c>
      <c r="R182" t="str">
        <f t="shared" si="52"/>
        <v>19/11/2015</v>
      </c>
      <c r="S182">
        <f t="shared" si="45"/>
        <v>2015</v>
      </c>
      <c r="T182">
        <f t="shared" si="46"/>
        <v>11</v>
      </c>
      <c r="U182" t="str">
        <f t="shared" si="47"/>
        <v>11</v>
      </c>
      <c r="V182">
        <f t="shared" si="48"/>
        <v>19</v>
      </c>
      <c r="W182" t="str">
        <f t="shared" si="49"/>
        <v>19</v>
      </c>
      <c r="X182" t="str">
        <f t="shared" si="50"/>
        <v>https://api.geomagnetism.ga.gov.au/agrf?latd=-31&amp;latm=53&amp;lats=50.89&amp;lond=135&amp;lonm=31&amp;lons=9.73&amp;year=2015&amp;month=11&amp;day=19&amp;elev=0.193&amp;Ein=D&amp;Ein=d</v>
      </c>
    </row>
    <row r="183" spans="1:24" ht="17" x14ac:dyDescent="0.25">
      <c r="A183" s="1" t="s">
        <v>285</v>
      </c>
      <c r="B183" s="1">
        <v>-30.033562</v>
      </c>
      <c r="C183" s="1">
        <v>135.54370800000001</v>
      </c>
      <c r="D183" t="s">
        <v>846</v>
      </c>
      <c r="E183" t="s">
        <v>847</v>
      </c>
      <c r="F183" t="str">
        <f t="shared" si="36"/>
        <v>-30° 2' 0.82"</v>
      </c>
      <c r="G183" t="str">
        <f t="shared" si="37"/>
        <v>135° 32' 37.35"</v>
      </c>
      <c r="H183" s="5">
        <f t="shared" si="38"/>
        <v>30</v>
      </c>
      <c r="I183" s="5">
        <f t="shared" si="39"/>
        <v>-30</v>
      </c>
      <c r="J183" s="5">
        <f t="shared" si="40"/>
        <v>2</v>
      </c>
      <c r="K183" s="5">
        <f t="shared" si="41"/>
        <v>0.82</v>
      </c>
      <c r="L183" s="5">
        <f t="shared" si="42"/>
        <v>135</v>
      </c>
      <c r="M183" s="5">
        <f t="shared" si="43"/>
        <v>32</v>
      </c>
      <c r="N183" s="5">
        <f t="shared" si="44"/>
        <v>37.35</v>
      </c>
      <c r="O183" s="1">
        <v>193</v>
      </c>
      <c r="P183">
        <f t="shared" si="51"/>
        <v>0.193</v>
      </c>
      <c r="Q183" s="3" t="s">
        <v>257</v>
      </c>
      <c r="R183" t="str">
        <f t="shared" si="52"/>
        <v>19/10/2014</v>
      </c>
      <c r="S183">
        <f t="shared" si="45"/>
        <v>2014</v>
      </c>
      <c r="T183">
        <f t="shared" si="46"/>
        <v>10</v>
      </c>
      <c r="U183" t="str">
        <f t="shared" si="47"/>
        <v>10</v>
      </c>
      <c r="V183">
        <f t="shared" si="48"/>
        <v>19</v>
      </c>
      <c r="W183" t="str">
        <f t="shared" si="49"/>
        <v>19</v>
      </c>
      <c r="X183" t="str">
        <f t="shared" si="50"/>
        <v>https://api.geomagnetism.ga.gov.au/agrf?latd=-30&amp;latm=2&amp;lats=0.82&amp;lond=135&amp;lonm=32&amp;lons=37.35&amp;year=2014&amp;month=10&amp;day=19&amp;elev=0.193&amp;Ein=D&amp;Ein=d</v>
      </c>
    </row>
    <row r="184" spans="1:24" ht="17" x14ac:dyDescent="0.25">
      <c r="A184" s="1" t="s">
        <v>286</v>
      </c>
      <c r="B184" s="1">
        <v>-30.033562</v>
      </c>
      <c r="C184" s="1">
        <v>135.54370800000001</v>
      </c>
      <c r="D184" t="s">
        <v>846</v>
      </c>
      <c r="E184" t="s">
        <v>847</v>
      </c>
      <c r="F184" t="str">
        <f t="shared" si="36"/>
        <v>-30° 2' 0.82"</v>
      </c>
      <c r="G184" t="str">
        <f t="shared" si="37"/>
        <v>135° 32' 37.35"</v>
      </c>
      <c r="H184" s="5">
        <f t="shared" si="38"/>
        <v>30</v>
      </c>
      <c r="I184" s="5">
        <f t="shared" si="39"/>
        <v>-30</v>
      </c>
      <c r="J184" s="5">
        <f t="shared" si="40"/>
        <v>2</v>
      </c>
      <c r="K184" s="5">
        <f t="shared" si="41"/>
        <v>0.82</v>
      </c>
      <c r="L184" s="5">
        <f t="shared" si="42"/>
        <v>135</v>
      </c>
      <c r="M184" s="5">
        <f t="shared" si="43"/>
        <v>32</v>
      </c>
      <c r="N184" s="5">
        <f t="shared" si="44"/>
        <v>37.35</v>
      </c>
      <c r="O184" s="1">
        <v>193</v>
      </c>
      <c r="P184">
        <f t="shared" si="51"/>
        <v>0.193</v>
      </c>
      <c r="Q184" s="3" t="s">
        <v>264</v>
      </c>
      <c r="R184" t="str">
        <f t="shared" si="52"/>
        <v>14/12/2014</v>
      </c>
      <c r="S184">
        <f t="shared" si="45"/>
        <v>2014</v>
      </c>
      <c r="T184">
        <f t="shared" si="46"/>
        <v>12</v>
      </c>
      <c r="U184" t="str">
        <f t="shared" si="47"/>
        <v>12</v>
      </c>
      <c r="V184">
        <f t="shared" si="48"/>
        <v>14</v>
      </c>
      <c r="W184" t="str">
        <f t="shared" si="49"/>
        <v>14</v>
      </c>
      <c r="X184" t="str">
        <f t="shared" si="50"/>
        <v>https://api.geomagnetism.ga.gov.au/agrf?latd=-30&amp;latm=2&amp;lats=0.82&amp;lond=135&amp;lonm=32&amp;lons=37.35&amp;year=2014&amp;month=12&amp;day=14&amp;elev=0.193&amp;Ein=D&amp;Ein=d</v>
      </c>
    </row>
    <row r="185" spans="1:24" ht="17" x14ac:dyDescent="0.25">
      <c r="A185" s="1" t="s">
        <v>230</v>
      </c>
      <c r="B185" s="1">
        <v>-29.023857</v>
      </c>
      <c r="C185" s="1">
        <v>135.564223</v>
      </c>
      <c r="D185" t="s">
        <v>848</v>
      </c>
      <c r="E185" t="s">
        <v>849</v>
      </c>
      <c r="F185" t="str">
        <f t="shared" si="36"/>
        <v>-29° 1' 25.89"</v>
      </c>
      <c r="G185" t="str">
        <f t="shared" si="37"/>
        <v>135° 33' 51.20"</v>
      </c>
      <c r="H185" s="5">
        <f t="shared" si="38"/>
        <v>29</v>
      </c>
      <c r="I185" s="5">
        <f t="shared" si="39"/>
        <v>-29</v>
      </c>
      <c r="J185" s="5">
        <f t="shared" si="40"/>
        <v>1</v>
      </c>
      <c r="K185" s="5">
        <f t="shared" si="41"/>
        <v>25.89</v>
      </c>
      <c r="L185" s="5">
        <f t="shared" si="42"/>
        <v>135</v>
      </c>
      <c r="M185" s="5">
        <f t="shared" si="43"/>
        <v>33</v>
      </c>
      <c r="N185" s="5">
        <f t="shared" si="44"/>
        <v>51.2</v>
      </c>
      <c r="O185" s="1">
        <v>112</v>
      </c>
      <c r="P185">
        <f t="shared" si="51"/>
        <v>0.112</v>
      </c>
      <c r="Q185" s="3" t="s">
        <v>265</v>
      </c>
      <c r="R185" t="str">
        <f t="shared" si="52"/>
        <v>19/09/2014</v>
      </c>
      <c r="S185">
        <f t="shared" si="45"/>
        <v>2014</v>
      </c>
      <c r="T185">
        <f t="shared" si="46"/>
        <v>9</v>
      </c>
      <c r="U185" t="str">
        <f t="shared" si="47"/>
        <v>09</v>
      </c>
      <c r="V185">
        <f t="shared" si="48"/>
        <v>19</v>
      </c>
      <c r="W185" t="str">
        <f t="shared" si="49"/>
        <v>19</v>
      </c>
      <c r="X185" t="str">
        <f t="shared" si="50"/>
        <v>https://api.geomagnetism.ga.gov.au/agrf?latd=-29&amp;latm=1&amp;lats=25.89&amp;lond=135&amp;lonm=33&amp;lons=51.2&amp;year=2014&amp;month=09&amp;day=19&amp;elev=0.112&amp;Ein=D&amp;Ein=d</v>
      </c>
    </row>
    <row r="186" spans="1:24" ht="17" x14ac:dyDescent="0.25">
      <c r="A186" s="1" t="s">
        <v>287</v>
      </c>
      <c r="B186" s="1">
        <v>-29.037009999999999</v>
      </c>
      <c r="C186" s="1">
        <v>135.5103</v>
      </c>
      <c r="D186" t="s">
        <v>850</v>
      </c>
      <c r="E186" t="s">
        <v>851</v>
      </c>
      <c r="F186" t="str">
        <f t="shared" si="36"/>
        <v>-29° 2' 13.24"</v>
      </c>
      <c r="G186" t="str">
        <f t="shared" si="37"/>
        <v>135° 30' 37.08"</v>
      </c>
      <c r="H186" s="5">
        <f t="shared" si="38"/>
        <v>29</v>
      </c>
      <c r="I186" s="5">
        <f t="shared" si="39"/>
        <v>-29</v>
      </c>
      <c r="J186" s="5">
        <f t="shared" si="40"/>
        <v>2</v>
      </c>
      <c r="K186" s="5">
        <f t="shared" si="41"/>
        <v>13.24</v>
      </c>
      <c r="L186" s="5">
        <f t="shared" si="42"/>
        <v>135</v>
      </c>
      <c r="M186" s="5">
        <f t="shared" si="43"/>
        <v>30</v>
      </c>
      <c r="N186" s="5">
        <f t="shared" si="44"/>
        <v>37.08</v>
      </c>
      <c r="O186" s="1">
        <v>112</v>
      </c>
      <c r="P186">
        <f t="shared" si="51"/>
        <v>0.112</v>
      </c>
      <c r="Q186" s="3" t="s">
        <v>266</v>
      </c>
      <c r="R186" t="str">
        <f t="shared" si="52"/>
        <v>11/12/2014</v>
      </c>
      <c r="S186">
        <f t="shared" si="45"/>
        <v>2014</v>
      </c>
      <c r="T186">
        <f t="shared" si="46"/>
        <v>12</v>
      </c>
      <c r="U186" t="str">
        <f t="shared" si="47"/>
        <v>12</v>
      </c>
      <c r="V186">
        <f t="shared" si="48"/>
        <v>11</v>
      </c>
      <c r="W186" t="str">
        <f t="shared" si="49"/>
        <v>11</v>
      </c>
      <c r="X186" t="str">
        <f t="shared" si="50"/>
        <v>https://api.geomagnetism.ga.gov.au/agrf?latd=-29&amp;latm=2&amp;lats=13.24&amp;lond=135&amp;lonm=30&amp;lons=37.08&amp;year=2014&amp;month=12&amp;day=11&amp;elev=0.112&amp;Ein=D&amp;Ein=d</v>
      </c>
    </row>
    <row r="187" spans="1:24" ht="17" x14ac:dyDescent="0.25">
      <c r="A187" s="1" t="s">
        <v>231</v>
      </c>
      <c r="B187" s="1">
        <v>-30.513532999999999</v>
      </c>
      <c r="C187" s="1">
        <v>135.95673300000001</v>
      </c>
      <c r="D187" t="s">
        <v>852</v>
      </c>
      <c r="E187" t="s">
        <v>853</v>
      </c>
      <c r="F187" t="str">
        <f t="shared" si="36"/>
        <v>-30° 30' 48.72"</v>
      </c>
      <c r="G187" t="str">
        <f t="shared" si="37"/>
        <v>135° 57' 24.24"</v>
      </c>
      <c r="H187" s="5">
        <f t="shared" si="38"/>
        <v>30</v>
      </c>
      <c r="I187" s="5">
        <f t="shared" si="39"/>
        <v>-30</v>
      </c>
      <c r="J187" s="5">
        <f t="shared" si="40"/>
        <v>30</v>
      </c>
      <c r="K187" s="5">
        <f t="shared" si="41"/>
        <v>48.72</v>
      </c>
      <c r="L187" s="5">
        <f t="shared" si="42"/>
        <v>135</v>
      </c>
      <c r="M187" s="5">
        <f t="shared" si="43"/>
        <v>57</v>
      </c>
      <c r="N187" s="5">
        <f t="shared" si="44"/>
        <v>24.24</v>
      </c>
      <c r="O187" s="1">
        <v>154</v>
      </c>
      <c r="P187">
        <f t="shared" si="51"/>
        <v>0.154</v>
      </c>
      <c r="Q187" s="3" t="s">
        <v>267</v>
      </c>
      <c r="R187" t="str">
        <f t="shared" si="52"/>
        <v>24/10/2014</v>
      </c>
      <c r="S187">
        <f t="shared" si="45"/>
        <v>2014</v>
      </c>
      <c r="T187">
        <f t="shared" si="46"/>
        <v>10</v>
      </c>
      <c r="U187" t="str">
        <f t="shared" si="47"/>
        <v>10</v>
      </c>
      <c r="V187">
        <f t="shared" si="48"/>
        <v>24</v>
      </c>
      <c r="W187" t="str">
        <f t="shared" si="49"/>
        <v>24</v>
      </c>
      <c r="X187" t="str">
        <f t="shared" si="50"/>
        <v>https://api.geomagnetism.ga.gov.au/agrf?latd=-30&amp;latm=30&amp;lats=48.72&amp;lond=135&amp;lonm=57&amp;lons=24.24&amp;year=2014&amp;month=10&amp;day=24&amp;elev=0.154&amp;Ein=D&amp;Ein=d</v>
      </c>
    </row>
    <row r="188" spans="1:24" ht="17" x14ac:dyDescent="0.25">
      <c r="A188" s="1" t="s">
        <v>232</v>
      </c>
      <c r="B188" s="1">
        <v>-30.513532999999999</v>
      </c>
      <c r="C188" s="1">
        <v>135.95673300000001</v>
      </c>
      <c r="D188" t="s">
        <v>852</v>
      </c>
      <c r="E188" t="s">
        <v>853</v>
      </c>
      <c r="F188" t="str">
        <f t="shared" si="36"/>
        <v>-30° 30' 48.72"</v>
      </c>
      <c r="G188" t="str">
        <f t="shared" si="37"/>
        <v>135° 57' 24.24"</v>
      </c>
      <c r="H188" s="5">
        <f t="shared" si="38"/>
        <v>30</v>
      </c>
      <c r="I188" s="5">
        <f t="shared" si="39"/>
        <v>-30</v>
      </c>
      <c r="J188" s="5">
        <f t="shared" si="40"/>
        <v>30</v>
      </c>
      <c r="K188" s="5">
        <f t="shared" si="41"/>
        <v>48.72</v>
      </c>
      <c r="L188" s="5">
        <f t="shared" si="42"/>
        <v>135</v>
      </c>
      <c r="M188" s="5">
        <f t="shared" si="43"/>
        <v>57</v>
      </c>
      <c r="N188" s="5">
        <f t="shared" si="44"/>
        <v>24.24</v>
      </c>
      <c r="O188" s="1">
        <v>154</v>
      </c>
      <c r="P188">
        <f t="shared" si="51"/>
        <v>0.154</v>
      </c>
      <c r="Q188" s="3" t="s">
        <v>268</v>
      </c>
      <c r="R188" t="str">
        <f t="shared" si="52"/>
        <v>13/11/2014</v>
      </c>
      <c r="S188">
        <f t="shared" si="45"/>
        <v>2014</v>
      </c>
      <c r="T188">
        <f t="shared" si="46"/>
        <v>11</v>
      </c>
      <c r="U188" t="str">
        <f t="shared" si="47"/>
        <v>11</v>
      </c>
      <c r="V188">
        <f t="shared" si="48"/>
        <v>13</v>
      </c>
      <c r="W188" t="str">
        <f t="shared" si="49"/>
        <v>13</v>
      </c>
      <c r="X188" t="str">
        <f t="shared" si="50"/>
        <v>https://api.geomagnetism.ga.gov.au/agrf?latd=-30&amp;latm=30&amp;lats=48.72&amp;lond=135&amp;lonm=57&amp;lons=24.24&amp;year=2014&amp;month=11&amp;day=13&amp;elev=0.154&amp;Ein=D&amp;Ein=d</v>
      </c>
    </row>
    <row r="189" spans="1:24" ht="17" x14ac:dyDescent="0.25">
      <c r="A189" s="1" t="s">
        <v>233</v>
      </c>
      <c r="B189" s="1">
        <v>-31.96078</v>
      </c>
      <c r="C189" s="1">
        <v>135.94722999999999</v>
      </c>
      <c r="D189" t="s">
        <v>854</v>
      </c>
      <c r="E189" t="s">
        <v>855</v>
      </c>
      <c r="F189" t="str">
        <f t="shared" si="36"/>
        <v>-31° 57' 38.81"</v>
      </c>
      <c r="G189" t="str">
        <f t="shared" si="37"/>
        <v>135° 56' 50.03"</v>
      </c>
      <c r="H189" s="5">
        <f t="shared" si="38"/>
        <v>31</v>
      </c>
      <c r="I189" s="5">
        <f t="shared" si="39"/>
        <v>-31</v>
      </c>
      <c r="J189" s="5">
        <f t="shared" si="40"/>
        <v>57</v>
      </c>
      <c r="K189" s="5">
        <f t="shared" si="41"/>
        <v>38.81</v>
      </c>
      <c r="L189" s="5">
        <f t="shared" si="42"/>
        <v>135</v>
      </c>
      <c r="M189" s="5">
        <f t="shared" si="43"/>
        <v>56</v>
      </c>
      <c r="N189" s="5">
        <f t="shared" si="44"/>
        <v>50.03</v>
      </c>
      <c r="O189" s="1">
        <v>139</v>
      </c>
      <c r="P189">
        <f t="shared" si="51"/>
        <v>0.13900000000000001</v>
      </c>
      <c r="Q189" s="3" t="s">
        <v>261</v>
      </c>
      <c r="R189" t="str">
        <f t="shared" si="52"/>
        <v>18/02/2015</v>
      </c>
      <c r="S189">
        <f t="shared" si="45"/>
        <v>2015</v>
      </c>
      <c r="T189">
        <f t="shared" si="46"/>
        <v>2</v>
      </c>
      <c r="U189" t="str">
        <f t="shared" si="47"/>
        <v>02</v>
      </c>
      <c r="V189">
        <f t="shared" si="48"/>
        <v>18</v>
      </c>
      <c r="W189" t="str">
        <f t="shared" si="49"/>
        <v>18</v>
      </c>
      <c r="X189" t="str">
        <f t="shared" si="50"/>
        <v>https://api.geomagnetism.ga.gov.au/agrf?latd=-31&amp;latm=57&amp;lats=38.81&amp;lond=135&amp;lonm=56&amp;lons=50.03&amp;year=2015&amp;month=02&amp;day=18&amp;elev=0.139&amp;Ein=D&amp;Ein=d</v>
      </c>
    </row>
    <row r="190" spans="1:24" ht="17" x14ac:dyDescent="0.25">
      <c r="A190" s="1" t="s">
        <v>234</v>
      </c>
      <c r="B190" s="1">
        <v>-30.024847000000001</v>
      </c>
      <c r="C190" s="1">
        <v>135.99926199999999</v>
      </c>
      <c r="D190" t="s">
        <v>856</v>
      </c>
      <c r="E190" t="s">
        <v>857</v>
      </c>
      <c r="F190" t="str">
        <f t="shared" si="36"/>
        <v>-30° 1' 29.45"</v>
      </c>
      <c r="G190" t="str">
        <f t="shared" si="37"/>
        <v>135° 59' 57.34"</v>
      </c>
      <c r="H190" s="5">
        <f t="shared" si="38"/>
        <v>30</v>
      </c>
      <c r="I190" s="5">
        <f t="shared" si="39"/>
        <v>-30</v>
      </c>
      <c r="J190" s="5">
        <f t="shared" si="40"/>
        <v>1</v>
      </c>
      <c r="K190" s="5">
        <f t="shared" si="41"/>
        <v>29.45</v>
      </c>
      <c r="L190" s="5">
        <f t="shared" si="42"/>
        <v>135</v>
      </c>
      <c r="M190" s="5">
        <f t="shared" si="43"/>
        <v>59</v>
      </c>
      <c r="N190" s="5">
        <f t="shared" si="44"/>
        <v>57.34</v>
      </c>
      <c r="O190" s="1">
        <v>118</v>
      </c>
      <c r="P190">
        <f t="shared" si="51"/>
        <v>0.11799999999999999</v>
      </c>
      <c r="Q190" s="3" t="s">
        <v>269</v>
      </c>
      <c r="R190" t="str">
        <f t="shared" si="52"/>
        <v>17/10/2014</v>
      </c>
      <c r="S190">
        <f t="shared" si="45"/>
        <v>2014</v>
      </c>
      <c r="T190">
        <f t="shared" si="46"/>
        <v>10</v>
      </c>
      <c r="U190" t="str">
        <f t="shared" si="47"/>
        <v>10</v>
      </c>
      <c r="V190">
        <f t="shared" si="48"/>
        <v>17</v>
      </c>
      <c r="W190" t="str">
        <f t="shared" si="49"/>
        <v>17</v>
      </c>
      <c r="X190" t="str">
        <f t="shared" si="50"/>
        <v>https://api.geomagnetism.ga.gov.au/agrf?latd=-30&amp;latm=1&amp;lats=29.45&amp;lond=135&amp;lonm=59&amp;lons=57.34&amp;year=2014&amp;month=10&amp;day=17&amp;elev=0.118&amp;Ein=D&amp;Ein=d</v>
      </c>
    </row>
    <row r="191" spans="1:24" ht="17" x14ac:dyDescent="0.25">
      <c r="A191" s="1" t="s">
        <v>288</v>
      </c>
      <c r="B191" s="1">
        <v>-30.02496</v>
      </c>
      <c r="C191" s="1">
        <v>135.99922000000001</v>
      </c>
      <c r="D191" t="s">
        <v>858</v>
      </c>
      <c r="E191" t="s">
        <v>859</v>
      </c>
      <c r="F191" t="str">
        <f t="shared" si="36"/>
        <v>-30° 1' 29.86"</v>
      </c>
      <c r="G191" t="str">
        <f t="shared" si="37"/>
        <v>135° 59' 57.19"</v>
      </c>
      <c r="H191" s="5">
        <f t="shared" si="38"/>
        <v>30</v>
      </c>
      <c r="I191" s="5">
        <f t="shared" si="39"/>
        <v>-30</v>
      </c>
      <c r="J191" s="5">
        <f t="shared" si="40"/>
        <v>1</v>
      </c>
      <c r="K191" s="5">
        <f t="shared" si="41"/>
        <v>29.86</v>
      </c>
      <c r="L191" s="5">
        <f t="shared" si="42"/>
        <v>135</v>
      </c>
      <c r="M191" s="5">
        <f t="shared" si="43"/>
        <v>59</v>
      </c>
      <c r="N191" s="5">
        <f t="shared" si="44"/>
        <v>57.19</v>
      </c>
      <c r="O191" s="1">
        <v>118</v>
      </c>
      <c r="P191">
        <f t="shared" si="51"/>
        <v>0.11799999999999999</v>
      </c>
      <c r="Q191" s="3" t="s">
        <v>264</v>
      </c>
      <c r="R191" t="str">
        <f t="shared" si="52"/>
        <v>14/12/2014</v>
      </c>
      <c r="S191">
        <f t="shared" si="45"/>
        <v>2014</v>
      </c>
      <c r="T191">
        <f t="shared" si="46"/>
        <v>12</v>
      </c>
      <c r="U191" t="str">
        <f t="shared" si="47"/>
        <v>12</v>
      </c>
      <c r="V191">
        <f t="shared" si="48"/>
        <v>14</v>
      </c>
      <c r="W191" t="str">
        <f t="shared" si="49"/>
        <v>14</v>
      </c>
      <c r="X191" t="str">
        <f t="shared" si="50"/>
        <v>https://api.geomagnetism.ga.gov.au/agrf?latd=-30&amp;latm=1&amp;lats=29.86&amp;lond=135&amp;lonm=59&amp;lons=57.19&amp;year=2014&amp;month=12&amp;day=14&amp;elev=0.118&amp;Ein=D&amp;Ein=d</v>
      </c>
    </row>
    <row r="192" spans="1:24" ht="17" x14ac:dyDescent="0.25">
      <c r="A192" s="1" t="s">
        <v>235</v>
      </c>
      <c r="B192" s="1">
        <v>-28.92968333</v>
      </c>
      <c r="C192" s="1">
        <v>135.9939167</v>
      </c>
      <c r="D192" t="s">
        <v>860</v>
      </c>
      <c r="E192" t="s">
        <v>861</v>
      </c>
      <c r="F192" t="str">
        <f t="shared" si="36"/>
        <v>-28° 55' 46.86"</v>
      </c>
      <c r="G192" t="str">
        <f t="shared" si="37"/>
        <v>135° 59' 38.10"</v>
      </c>
      <c r="H192" s="5">
        <f t="shared" si="38"/>
        <v>28</v>
      </c>
      <c r="I192" s="5">
        <f t="shared" si="39"/>
        <v>-28</v>
      </c>
      <c r="J192" s="5">
        <f t="shared" si="40"/>
        <v>55</v>
      </c>
      <c r="K192" s="5">
        <f t="shared" si="41"/>
        <v>46.86</v>
      </c>
      <c r="L192" s="5">
        <f t="shared" si="42"/>
        <v>135</v>
      </c>
      <c r="M192" s="5">
        <f t="shared" si="43"/>
        <v>59</v>
      </c>
      <c r="N192" s="5">
        <f t="shared" si="44"/>
        <v>38.1</v>
      </c>
      <c r="O192" s="1">
        <v>106</v>
      </c>
      <c r="P192">
        <f t="shared" si="51"/>
        <v>0.106</v>
      </c>
      <c r="Q192" s="3" t="s">
        <v>265</v>
      </c>
      <c r="R192" t="str">
        <f t="shared" si="52"/>
        <v>19/09/2014</v>
      </c>
      <c r="S192">
        <f t="shared" si="45"/>
        <v>2014</v>
      </c>
      <c r="T192">
        <f t="shared" si="46"/>
        <v>9</v>
      </c>
      <c r="U192" t="str">
        <f t="shared" si="47"/>
        <v>09</v>
      </c>
      <c r="V192">
        <f t="shared" si="48"/>
        <v>19</v>
      </c>
      <c r="W192" t="str">
        <f t="shared" si="49"/>
        <v>19</v>
      </c>
      <c r="X192" t="str">
        <f t="shared" si="50"/>
        <v>https://api.geomagnetism.ga.gov.au/agrf?latd=-28&amp;latm=55&amp;lats=46.86&amp;lond=135&amp;lonm=59&amp;lons=38.1&amp;year=2014&amp;month=09&amp;day=19&amp;elev=0.106&amp;Ein=D&amp;Ein=d</v>
      </c>
    </row>
    <row r="193" spans="1:24" ht="17" x14ac:dyDescent="0.25">
      <c r="A193" s="1" t="s">
        <v>236</v>
      </c>
      <c r="B193" s="1">
        <v>-29.501100000000001</v>
      </c>
      <c r="C193" s="1">
        <v>136.0232</v>
      </c>
      <c r="D193" t="s">
        <v>862</v>
      </c>
      <c r="E193" t="s">
        <v>863</v>
      </c>
      <c r="F193" t="str">
        <f t="shared" si="36"/>
        <v>-29° 30' 3.96"</v>
      </c>
      <c r="G193" t="str">
        <f t="shared" si="37"/>
        <v>136° 1' 23.52"</v>
      </c>
      <c r="H193" s="5">
        <f t="shared" si="38"/>
        <v>29</v>
      </c>
      <c r="I193" s="5">
        <f t="shared" si="39"/>
        <v>-29</v>
      </c>
      <c r="J193" s="5">
        <f t="shared" si="40"/>
        <v>30</v>
      </c>
      <c r="K193" s="5">
        <f t="shared" si="41"/>
        <v>3.96</v>
      </c>
      <c r="L193" s="5">
        <f t="shared" si="42"/>
        <v>136</v>
      </c>
      <c r="M193" s="5">
        <f t="shared" si="43"/>
        <v>1</v>
      </c>
      <c r="N193" s="5">
        <f t="shared" si="44"/>
        <v>23.52</v>
      </c>
      <c r="O193" s="1">
        <v>113</v>
      </c>
      <c r="P193">
        <f t="shared" si="51"/>
        <v>0.113</v>
      </c>
      <c r="Q193" s="3" t="s">
        <v>269</v>
      </c>
      <c r="R193" t="str">
        <f t="shared" si="52"/>
        <v>17/10/2014</v>
      </c>
      <c r="S193">
        <f t="shared" si="45"/>
        <v>2014</v>
      </c>
      <c r="T193">
        <f t="shared" si="46"/>
        <v>10</v>
      </c>
      <c r="U193" t="str">
        <f t="shared" si="47"/>
        <v>10</v>
      </c>
      <c r="V193">
        <f t="shared" si="48"/>
        <v>17</v>
      </c>
      <c r="W193" t="str">
        <f t="shared" si="49"/>
        <v>17</v>
      </c>
      <c r="X193" t="str">
        <f t="shared" si="50"/>
        <v>https://api.geomagnetism.ga.gov.au/agrf?latd=-29&amp;latm=30&amp;lats=3.96&amp;lond=136&amp;lonm=1&amp;lons=23.52&amp;year=2014&amp;month=10&amp;day=17&amp;elev=0.113&amp;Ein=D&amp;Ein=d</v>
      </c>
    </row>
    <row r="194" spans="1:24" ht="17" x14ac:dyDescent="0.25">
      <c r="A194" s="1" t="s">
        <v>237</v>
      </c>
      <c r="B194" s="1">
        <v>-31.439031</v>
      </c>
      <c r="C194" s="1">
        <v>136.28773000000001</v>
      </c>
      <c r="D194" t="s">
        <v>864</v>
      </c>
      <c r="E194" t="s">
        <v>865</v>
      </c>
      <c r="F194" t="str">
        <f t="shared" si="36"/>
        <v>-31° 26' 20.51"</v>
      </c>
      <c r="G194" t="str">
        <f t="shared" si="37"/>
        <v>136° 17' 15.83"</v>
      </c>
      <c r="H194" s="5">
        <f t="shared" si="38"/>
        <v>31</v>
      </c>
      <c r="I194" s="5">
        <f t="shared" si="39"/>
        <v>-31</v>
      </c>
      <c r="J194" s="5">
        <f t="shared" si="40"/>
        <v>26</v>
      </c>
      <c r="K194" s="5">
        <f t="shared" si="41"/>
        <v>20.51</v>
      </c>
      <c r="L194" s="5">
        <f t="shared" si="42"/>
        <v>136</v>
      </c>
      <c r="M194" s="5">
        <f t="shared" si="43"/>
        <v>17</v>
      </c>
      <c r="N194" s="5">
        <f t="shared" si="44"/>
        <v>15.83</v>
      </c>
      <c r="O194" s="1">
        <v>128</v>
      </c>
      <c r="P194">
        <f t="shared" si="51"/>
        <v>0.128</v>
      </c>
      <c r="Q194" s="3" t="s">
        <v>261</v>
      </c>
      <c r="R194" t="str">
        <f t="shared" si="52"/>
        <v>18/02/2015</v>
      </c>
      <c r="S194">
        <f t="shared" si="45"/>
        <v>2015</v>
      </c>
      <c r="T194">
        <f t="shared" si="46"/>
        <v>2</v>
      </c>
      <c r="U194" t="str">
        <f t="shared" si="47"/>
        <v>02</v>
      </c>
      <c r="V194">
        <f t="shared" si="48"/>
        <v>18</v>
      </c>
      <c r="W194" t="str">
        <f t="shared" si="49"/>
        <v>18</v>
      </c>
      <c r="X194" t="str">
        <f t="shared" si="50"/>
        <v>https://api.geomagnetism.ga.gov.au/agrf?latd=-31&amp;latm=26&amp;lats=20.51&amp;lond=136&amp;lonm=17&amp;lons=15.83&amp;year=2015&amp;month=02&amp;day=18&amp;elev=0.128&amp;Ein=D&amp;Ein=d</v>
      </c>
    </row>
    <row r="195" spans="1:24" ht="17" x14ac:dyDescent="0.25">
      <c r="A195" s="1" t="s">
        <v>238</v>
      </c>
      <c r="B195" s="1">
        <v>-30.902467999999999</v>
      </c>
      <c r="C195" s="1">
        <v>136.32758799999999</v>
      </c>
      <c r="D195" t="s">
        <v>866</v>
      </c>
      <c r="E195" t="s">
        <v>867</v>
      </c>
      <c r="F195" t="str">
        <f t="shared" ref="F195:F258" si="53">SUBSTITUTE(D195,"¬∞","°")</f>
        <v>-30° 54' 8.88"</v>
      </c>
      <c r="G195" t="str">
        <f t="shared" ref="G195:G258" si="54">SUBSTITUTE(E195,"¬∞","°")</f>
        <v>136° 19' 39.32"</v>
      </c>
      <c r="H195" s="5">
        <f t="shared" ref="H195:H258" si="55">IF(LEFT(F195,1)="-", -1, 1) * VALUE(LEFT(F195, FIND("°", F195)-1))</f>
        <v>30</v>
      </c>
      <c r="I195" s="5">
        <f t="shared" ref="I195:I258" si="56">-H195</f>
        <v>-30</v>
      </c>
      <c r="J195" s="5">
        <f t="shared" ref="J195:J258" si="57">VALUE(MID(F195, FIND("°",F195)+2, FIND("'",F195)-FIND("°", F195)-2))</f>
        <v>54</v>
      </c>
      <c r="K195" s="5">
        <f t="shared" ref="K195:K258" si="58">VALUE(MID(F195, FIND("'", F195)+2, FIND("""", F195)-FIND("'", F195)-2))</f>
        <v>8.8800000000000008</v>
      </c>
      <c r="L195" s="5">
        <f t="shared" ref="L195:L258" si="59">IF(LEFT(G195,1)="-", -1, 1) * VALUE(LEFT(G195, FIND("°", G195)-1))</f>
        <v>136</v>
      </c>
      <c r="M195" s="5">
        <f t="shared" ref="M195:M258" si="60">VALUE(MID(G195, FIND("°",G195)+2, FIND("'",G195)-FIND("°", G195)-2))</f>
        <v>19</v>
      </c>
      <c r="N195" s="5">
        <f t="shared" ref="N195:N258" si="61">VALUE(MID(G195, FIND("'", G195)+2, FIND("""",G195)-FIND("'", G195)-2))</f>
        <v>39.32</v>
      </c>
      <c r="O195" s="1">
        <v>139</v>
      </c>
      <c r="P195">
        <f t="shared" si="51"/>
        <v>0.13900000000000001</v>
      </c>
      <c r="Q195" s="4" t="s">
        <v>267</v>
      </c>
      <c r="R195" t="str">
        <f t="shared" si="52"/>
        <v>24/10/2014</v>
      </c>
      <c r="S195">
        <f t="shared" ref="S195:S258" si="62">YEAR(R195)</f>
        <v>2014</v>
      </c>
      <c r="T195">
        <f t="shared" ref="T195:T258" si="63">MONTH(R195)</f>
        <v>10</v>
      </c>
      <c r="U195" t="str">
        <f t="shared" ref="U195:U258" si="64">TEXT(T195, "00")</f>
        <v>10</v>
      </c>
      <c r="V195">
        <f t="shared" ref="V195:V258" si="65">DAY(R195)</f>
        <v>24</v>
      </c>
      <c r="W195" t="str">
        <f t="shared" ref="W195:W258" si="66">TEXT(V195,"00")</f>
        <v>24</v>
      </c>
      <c r="X195" t="str">
        <f t="shared" ref="X195:X258" si="67">CONCATENATE(
    "https://api.geomagnetism.ga.gov.au/agrf?",
    "latd=", I195,
    "&amp;latm=", J195,
    "&amp;lats=", K195,
    "&amp;lond=", L195,
    "&amp;lonm=", M195,
    "&amp;lons=", N195,
    "&amp;year=", S195,
    "&amp;month=", U195,
    "&amp;day=", W195,
    "&amp;elev=", P195,
    "&amp;Ein=D",
    "&amp;Ein=d"
)</f>
        <v>https://api.geomagnetism.ga.gov.au/agrf?latd=-30&amp;latm=54&amp;lats=8.88&amp;lond=136&amp;lonm=19&amp;lons=39.32&amp;year=2014&amp;month=10&amp;day=24&amp;elev=0.139&amp;Ein=D&amp;Ein=d</v>
      </c>
    </row>
    <row r="196" spans="1:24" ht="17" x14ac:dyDescent="0.25">
      <c r="A196" s="1" t="s">
        <v>239</v>
      </c>
      <c r="B196" s="1">
        <v>-29.973289999999999</v>
      </c>
      <c r="C196" s="1">
        <v>136.45047700000001</v>
      </c>
      <c r="D196" t="s">
        <v>868</v>
      </c>
      <c r="E196" t="s">
        <v>869</v>
      </c>
      <c r="F196" t="str">
        <f t="shared" si="53"/>
        <v>-29° 58' 23.84"</v>
      </c>
      <c r="G196" t="str">
        <f t="shared" si="54"/>
        <v>136° 27' 1.72"</v>
      </c>
      <c r="H196" s="5">
        <f t="shared" si="55"/>
        <v>29</v>
      </c>
      <c r="I196" s="5">
        <f t="shared" si="56"/>
        <v>-29</v>
      </c>
      <c r="J196" s="5">
        <f t="shared" si="57"/>
        <v>58</v>
      </c>
      <c r="K196" s="5">
        <f t="shared" si="58"/>
        <v>23.84</v>
      </c>
      <c r="L196" s="5">
        <f t="shared" si="59"/>
        <v>136</v>
      </c>
      <c r="M196" s="5">
        <f t="shared" si="60"/>
        <v>27</v>
      </c>
      <c r="N196" s="5">
        <f t="shared" si="61"/>
        <v>1.72</v>
      </c>
      <c r="O196" s="1">
        <v>100</v>
      </c>
      <c r="P196">
        <f t="shared" si="51"/>
        <v>0.1</v>
      </c>
      <c r="Q196" s="3" t="s">
        <v>270</v>
      </c>
      <c r="R196" t="str">
        <f t="shared" si="52"/>
        <v>16/10/2014</v>
      </c>
      <c r="S196">
        <f t="shared" si="62"/>
        <v>2014</v>
      </c>
      <c r="T196">
        <f t="shared" si="63"/>
        <v>10</v>
      </c>
      <c r="U196" t="str">
        <f t="shared" si="64"/>
        <v>10</v>
      </c>
      <c r="V196">
        <f t="shared" si="65"/>
        <v>16</v>
      </c>
      <c r="W196" t="str">
        <f t="shared" si="66"/>
        <v>16</v>
      </c>
      <c r="X196" t="str">
        <f t="shared" si="67"/>
        <v>https://api.geomagnetism.ga.gov.au/agrf?latd=-29&amp;latm=58&amp;lats=23.84&amp;lond=136&amp;lonm=27&amp;lons=1.72&amp;year=2014&amp;month=10&amp;day=16&amp;elev=0.1&amp;Ein=D&amp;Ein=d</v>
      </c>
    </row>
    <row r="197" spans="1:24" ht="17" x14ac:dyDescent="0.25">
      <c r="A197" s="1" t="s">
        <v>240</v>
      </c>
      <c r="B197" s="1">
        <v>-29.973289999999999</v>
      </c>
      <c r="C197" s="1">
        <v>136.45047700000001</v>
      </c>
      <c r="D197" t="s">
        <v>868</v>
      </c>
      <c r="E197" t="s">
        <v>869</v>
      </c>
      <c r="F197" t="str">
        <f t="shared" si="53"/>
        <v>-29° 58' 23.84"</v>
      </c>
      <c r="G197" t="str">
        <f t="shared" si="54"/>
        <v>136° 27' 1.72"</v>
      </c>
      <c r="H197" s="5">
        <f t="shared" si="55"/>
        <v>29</v>
      </c>
      <c r="I197" s="5">
        <f t="shared" si="56"/>
        <v>-29</v>
      </c>
      <c r="J197" s="5">
        <f t="shared" si="57"/>
        <v>58</v>
      </c>
      <c r="K197" s="5">
        <f t="shared" si="58"/>
        <v>23.84</v>
      </c>
      <c r="L197" s="5">
        <f t="shared" si="59"/>
        <v>136</v>
      </c>
      <c r="M197" s="5">
        <f t="shared" si="60"/>
        <v>27</v>
      </c>
      <c r="N197" s="5">
        <f t="shared" si="61"/>
        <v>1.72</v>
      </c>
      <c r="O197" s="1">
        <v>100</v>
      </c>
      <c r="P197">
        <f t="shared" si="51"/>
        <v>0.1</v>
      </c>
      <c r="Q197" s="3" t="s">
        <v>268</v>
      </c>
      <c r="R197" t="str">
        <f t="shared" si="52"/>
        <v>13/11/2014</v>
      </c>
      <c r="S197">
        <f t="shared" si="62"/>
        <v>2014</v>
      </c>
      <c r="T197">
        <f t="shared" si="63"/>
        <v>11</v>
      </c>
      <c r="U197" t="str">
        <f t="shared" si="64"/>
        <v>11</v>
      </c>
      <c r="V197">
        <f t="shared" si="65"/>
        <v>13</v>
      </c>
      <c r="W197" t="str">
        <f t="shared" si="66"/>
        <v>13</v>
      </c>
      <c r="X197" t="str">
        <f t="shared" si="67"/>
        <v>https://api.geomagnetism.ga.gov.au/agrf?latd=-29&amp;latm=58&amp;lats=23.84&amp;lond=136&amp;lonm=27&amp;lons=1.72&amp;year=2014&amp;month=11&amp;day=13&amp;elev=0.1&amp;Ein=D&amp;Ein=d</v>
      </c>
    </row>
    <row r="198" spans="1:24" ht="17" x14ac:dyDescent="0.25">
      <c r="A198" s="1" t="s">
        <v>241</v>
      </c>
      <c r="B198" s="1">
        <v>-31.99802</v>
      </c>
      <c r="C198" s="1">
        <v>136.46279000000001</v>
      </c>
      <c r="D198" t="s">
        <v>870</v>
      </c>
      <c r="E198" t="s">
        <v>871</v>
      </c>
      <c r="F198" t="str">
        <f t="shared" si="53"/>
        <v>-31° 59' 52.87"</v>
      </c>
      <c r="G198" t="str">
        <f t="shared" si="54"/>
        <v>136° 27' 46.04"</v>
      </c>
      <c r="H198" s="5">
        <f t="shared" si="55"/>
        <v>31</v>
      </c>
      <c r="I198" s="5">
        <f t="shared" si="56"/>
        <v>-31</v>
      </c>
      <c r="J198" s="5">
        <f t="shared" si="57"/>
        <v>59</v>
      </c>
      <c r="K198" s="5">
        <f t="shared" si="58"/>
        <v>52.87</v>
      </c>
      <c r="L198" s="5">
        <f t="shared" si="59"/>
        <v>136</v>
      </c>
      <c r="M198" s="5">
        <f t="shared" si="60"/>
        <v>27</v>
      </c>
      <c r="N198" s="5">
        <f t="shared" si="61"/>
        <v>46.04</v>
      </c>
      <c r="O198" s="1">
        <v>129</v>
      </c>
      <c r="P198">
        <f t="shared" si="51"/>
        <v>0.129</v>
      </c>
      <c r="Q198" s="3" t="s">
        <v>271</v>
      </c>
      <c r="R198" t="str">
        <f t="shared" si="52"/>
        <v>19/02/2015</v>
      </c>
      <c r="S198">
        <f t="shared" si="62"/>
        <v>2015</v>
      </c>
      <c r="T198">
        <f t="shared" si="63"/>
        <v>2</v>
      </c>
      <c r="U198" t="str">
        <f t="shared" si="64"/>
        <v>02</v>
      </c>
      <c r="V198">
        <f t="shared" si="65"/>
        <v>19</v>
      </c>
      <c r="W198" t="str">
        <f t="shared" si="66"/>
        <v>19</v>
      </c>
      <c r="X198" t="str">
        <f t="shared" si="67"/>
        <v>https://api.geomagnetism.ga.gov.au/agrf?latd=-31&amp;latm=59&amp;lats=52.87&amp;lond=136&amp;lonm=27&amp;lons=46.04&amp;year=2015&amp;month=02&amp;day=19&amp;elev=0.129&amp;Ein=D&amp;Ein=d</v>
      </c>
    </row>
    <row r="199" spans="1:24" ht="17" x14ac:dyDescent="0.25">
      <c r="A199" s="1" t="s">
        <v>242</v>
      </c>
      <c r="B199" s="1">
        <v>-29.459399999999999</v>
      </c>
      <c r="C199" s="1">
        <v>136.48245</v>
      </c>
      <c r="D199" t="s">
        <v>872</v>
      </c>
      <c r="E199" t="s">
        <v>873</v>
      </c>
      <c r="F199" t="str">
        <f t="shared" si="53"/>
        <v>-29° 27' 33.84"</v>
      </c>
      <c r="G199" t="str">
        <f t="shared" si="54"/>
        <v>136° 28' 56.82"</v>
      </c>
      <c r="H199" s="5">
        <f t="shared" si="55"/>
        <v>29</v>
      </c>
      <c r="I199" s="5">
        <f t="shared" si="56"/>
        <v>-29</v>
      </c>
      <c r="J199" s="5">
        <f t="shared" si="57"/>
        <v>27</v>
      </c>
      <c r="K199" s="5">
        <f t="shared" si="58"/>
        <v>33.840000000000003</v>
      </c>
      <c r="L199" s="5">
        <f t="shared" si="59"/>
        <v>136</v>
      </c>
      <c r="M199" s="5">
        <f t="shared" si="60"/>
        <v>28</v>
      </c>
      <c r="N199" s="5">
        <f t="shared" si="61"/>
        <v>56.82</v>
      </c>
      <c r="O199" s="1">
        <v>41</v>
      </c>
      <c r="P199">
        <f t="shared" si="51"/>
        <v>4.1000000000000002E-2</v>
      </c>
      <c r="Q199" s="3" t="s">
        <v>269</v>
      </c>
      <c r="R199" t="str">
        <f t="shared" si="52"/>
        <v>17/10/2014</v>
      </c>
      <c r="S199">
        <f t="shared" si="62"/>
        <v>2014</v>
      </c>
      <c r="T199">
        <f t="shared" si="63"/>
        <v>10</v>
      </c>
      <c r="U199" t="str">
        <f t="shared" si="64"/>
        <v>10</v>
      </c>
      <c r="V199">
        <f t="shared" si="65"/>
        <v>17</v>
      </c>
      <c r="W199" t="str">
        <f t="shared" si="66"/>
        <v>17</v>
      </c>
      <c r="X199" t="str">
        <f t="shared" si="67"/>
        <v>https://api.geomagnetism.ga.gov.au/agrf?latd=-29&amp;latm=27&amp;lats=33.84&amp;lond=136&amp;lonm=28&amp;lons=56.82&amp;year=2014&amp;month=10&amp;day=17&amp;elev=0.041&amp;Ein=D&amp;Ein=d</v>
      </c>
    </row>
    <row r="200" spans="1:24" ht="17" x14ac:dyDescent="0.25">
      <c r="A200" s="1" t="s">
        <v>289</v>
      </c>
      <c r="B200" s="1">
        <v>-29.004793500000002</v>
      </c>
      <c r="C200" s="1">
        <v>136.47298000000001</v>
      </c>
      <c r="D200" t="s">
        <v>874</v>
      </c>
      <c r="E200" t="s">
        <v>875</v>
      </c>
      <c r="F200" t="str">
        <f t="shared" si="53"/>
        <v>-29° 0' 17.26"</v>
      </c>
      <c r="G200" t="str">
        <f t="shared" si="54"/>
        <v>136° 28' 22.73"</v>
      </c>
      <c r="H200" s="5">
        <f t="shared" si="55"/>
        <v>29</v>
      </c>
      <c r="I200" s="5">
        <f t="shared" si="56"/>
        <v>-29</v>
      </c>
      <c r="J200" s="5">
        <f t="shared" si="57"/>
        <v>0</v>
      </c>
      <c r="K200" s="5">
        <f t="shared" si="58"/>
        <v>17.260000000000002</v>
      </c>
      <c r="L200" s="5">
        <f t="shared" si="59"/>
        <v>136</v>
      </c>
      <c r="M200" s="5">
        <f t="shared" si="60"/>
        <v>28</v>
      </c>
      <c r="N200" s="5">
        <f t="shared" si="61"/>
        <v>22.73</v>
      </c>
      <c r="O200" s="1">
        <v>80</v>
      </c>
      <c r="P200">
        <f t="shared" si="51"/>
        <v>0.08</v>
      </c>
      <c r="Q200" s="3" t="s">
        <v>272</v>
      </c>
      <c r="R200" t="str">
        <f t="shared" si="52"/>
        <v>01/01/2003</v>
      </c>
      <c r="S200">
        <f t="shared" si="62"/>
        <v>2003</v>
      </c>
      <c r="T200">
        <f t="shared" si="63"/>
        <v>1</v>
      </c>
      <c r="U200" t="str">
        <f t="shared" si="64"/>
        <v>01</v>
      </c>
      <c r="V200">
        <f t="shared" si="65"/>
        <v>1</v>
      </c>
      <c r="W200" t="str">
        <f t="shared" si="66"/>
        <v>01</v>
      </c>
      <c r="X200" t="str">
        <f t="shared" si="67"/>
        <v>https://api.geomagnetism.ga.gov.au/agrf?latd=-29&amp;latm=0&amp;lats=17.26&amp;lond=136&amp;lonm=28&amp;lons=22.73&amp;year=2003&amp;month=01&amp;day=01&amp;elev=0.08&amp;Ein=D&amp;Ein=d</v>
      </c>
    </row>
    <row r="201" spans="1:24" ht="17" x14ac:dyDescent="0.25">
      <c r="A201" s="1" t="s">
        <v>290</v>
      </c>
      <c r="B201" s="1">
        <v>-30.495069999999998</v>
      </c>
      <c r="C201" s="1">
        <v>136.50460000000001</v>
      </c>
      <c r="D201" t="s">
        <v>876</v>
      </c>
      <c r="E201" t="s">
        <v>877</v>
      </c>
      <c r="F201" t="str">
        <f t="shared" si="53"/>
        <v>-30° 29' 42.25"</v>
      </c>
      <c r="G201" t="str">
        <f t="shared" si="54"/>
        <v>136° 30' 16.56"</v>
      </c>
      <c r="H201" s="5">
        <f t="shared" si="55"/>
        <v>30</v>
      </c>
      <c r="I201" s="5">
        <f t="shared" si="56"/>
        <v>-30</v>
      </c>
      <c r="J201" s="5">
        <f t="shared" si="57"/>
        <v>29</v>
      </c>
      <c r="K201" s="5">
        <f t="shared" si="58"/>
        <v>42.25</v>
      </c>
      <c r="L201" s="5">
        <f t="shared" si="59"/>
        <v>136</v>
      </c>
      <c r="M201" s="5">
        <f t="shared" si="60"/>
        <v>30</v>
      </c>
      <c r="N201" s="5">
        <f t="shared" si="61"/>
        <v>16.559999999999999</v>
      </c>
      <c r="O201" s="1">
        <v>108</v>
      </c>
      <c r="P201">
        <f t="shared" si="51"/>
        <v>0.108</v>
      </c>
      <c r="Q201" s="3" t="s">
        <v>270</v>
      </c>
      <c r="R201" t="str">
        <f t="shared" si="52"/>
        <v>16/10/2014</v>
      </c>
      <c r="S201">
        <f t="shared" si="62"/>
        <v>2014</v>
      </c>
      <c r="T201">
        <f t="shared" si="63"/>
        <v>10</v>
      </c>
      <c r="U201" t="str">
        <f t="shared" si="64"/>
        <v>10</v>
      </c>
      <c r="V201">
        <f t="shared" si="65"/>
        <v>16</v>
      </c>
      <c r="W201" t="str">
        <f t="shared" si="66"/>
        <v>16</v>
      </c>
      <c r="X201" t="str">
        <f t="shared" si="67"/>
        <v>https://api.geomagnetism.ga.gov.au/agrf?latd=-30&amp;latm=29&amp;lats=42.25&amp;lond=136&amp;lonm=30&amp;lons=16.56&amp;year=2014&amp;month=10&amp;day=16&amp;elev=0.108&amp;Ein=D&amp;Ein=d</v>
      </c>
    </row>
    <row r="202" spans="1:24" ht="17" x14ac:dyDescent="0.25">
      <c r="A202" s="1" t="s">
        <v>243</v>
      </c>
      <c r="B202" s="1">
        <v>-32.383249999999997</v>
      </c>
      <c r="C202" s="1">
        <v>136.60475</v>
      </c>
      <c r="D202" t="s">
        <v>878</v>
      </c>
      <c r="E202" t="s">
        <v>879</v>
      </c>
      <c r="F202" t="str">
        <f t="shared" si="53"/>
        <v>-32° 22' 59.70"</v>
      </c>
      <c r="G202" t="str">
        <f t="shared" si="54"/>
        <v>136° 36' 17.10"</v>
      </c>
      <c r="H202" s="5">
        <f t="shared" si="55"/>
        <v>32</v>
      </c>
      <c r="I202" s="5">
        <f t="shared" si="56"/>
        <v>-32</v>
      </c>
      <c r="J202" s="5">
        <f t="shared" si="57"/>
        <v>22</v>
      </c>
      <c r="K202" s="5">
        <f t="shared" si="58"/>
        <v>59.7</v>
      </c>
      <c r="L202" s="5">
        <f t="shared" si="59"/>
        <v>136</v>
      </c>
      <c r="M202" s="5">
        <f t="shared" si="60"/>
        <v>36</v>
      </c>
      <c r="N202" s="5">
        <f t="shared" si="61"/>
        <v>17.100000000000001</v>
      </c>
      <c r="O202" s="1">
        <v>150</v>
      </c>
      <c r="P202">
        <f t="shared" si="51"/>
        <v>0.15</v>
      </c>
      <c r="Q202" s="3" t="s">
        <v>273</v>
      </c>
      <c r="R202" t="str">
        <f t="shared" si="52"/>
        <v>16/02/2015</v>
      </c>
      <c r="S202">
        <f t="shared" si="62"/>
        <v>2015</v>
      </c>
      <c r="T202">
        <f t="shared" si="63"/>
        <v>2</v>
      </c>
      <c r="U202" t="str">
        <f t="shared" si="64"/>
        <v>02</v>
      </c>
      <c r="V202">
        <f t="shared" si="65"/>
        <v>16</v>
      </c>
      <c r="W202" t="str">
        <f t="shared" si="66"/>
        <v>16</v>
      </c>
      <c r="X202" t="str">
        <f t="shared" si="67"/>
        <v>https://api.geomagnetism.ga.gov.au/agrf?latd=-32&amp;latm=22&amp;lats=59.7&amp;lond=136&amp;lonm=36&amp;lons=17.1&amp;year=2015&amp;month=02&amp;day=16&amp;elev=0.15&amp;Ein=D&amp;Ein=d</v>
      </c>
    </row>
    <row r="203" spans="1:24" ht="17" x14ac:dyDescent="0.25">
      <c r="A203" s="1" t="s">
        <v>244</v>
      </c>
      <c r="B203" s="1">
        <v>-29.469190000000001</v>
      </c>
      <c r="C203" s="1">
        <v>137.02225999999999</v>
      </c>
      <c r="D203" t="s">
        <v>880</v>
      </c>
      <c r="E203" t="s">
        <v>881</v>
      </c>
      <c r="F203" t="str">
        <f t="shared" si="53"/>
        <v>-29° 28' 9.08"</v>
      </c>
      <c r="G203" t="str">
        <f t="shared" si="54"/>
        <v>137° 1' 20.14"</v>
      </c>
      <c r="H203" s="5">
        <f t="shared" si="55"/>
        <v>29</v>
      </c>
      <c r="I203" s="5">
        <f t="shared" si="56"/>
        <v>-29</v>
      </c>
      <c r="J203" s="5">
        <f t="shared" si="57"/>
        <v>28</v>
      </c>
      <c r="K203" s="5">
        <f t="shared" si="58"/>
        <v>9.08</v>
      </c>
      <c r="L203" s="5">
        <f t="shared" si="59"/>
        <v>137</v>
      </c>
      <c r="M203" s="5">
        <f t="shared" si="60"/>
        <v>1</v>
      </c>
      <c r="N203" s="5">
        <f t="shared" si="61"/>
        <v>20.14</v>
      </c>
      <c r="O203" s="1">
        <v>0</v>
      </c>
      <c r="P203">
        <f t="shared" si="51"/>
        <v>0</v>
      </c>
      <c r="Q203" s="3" t="s">
        <v>274</v>
      </c>
      <c r="R203" t="str">
        <f t="shared" si="52"/>
        <v>20/09/2014</v>
      </c>
      <c r="S203">
        <f t="shared" si="62"/>
        <v>2014</v>
      </c>
      <c r="T203">
        <f t="shared" si="63"/>
        <v>9</v>
      </c>
      <c r="U203" t="str">
        <f t="shared" si="64"/>
        <v>09</v>
      </c>
      <c r="V203">
        <f t="shared" si="65"/>
        <v>20</v>
      </c>
      <c r="W203" t="str">
        <f t="shared" si="66"/>
        <v>20</v>
      </c>
      <c r="X203" t="str">
        <f t="shared" si="67"/>
        <v>https://api.geomagnetism.ga.gov.au/agrf?latd=-29&amp;latm=28&amp;lats=9.08&amp;lond=137&amp;lonm=1&amp;lons=20.14&amp;year=2014&amp;month=09&amp;day=20&amp;elev=0&amp;Ein=D&amp;Ein=d</v>
      </c>
    </row>
    <row r="204" spans="1:24" ht="17" x14ac:dyDescent="0.25">
      <c r="A204" s="1" t="s">
        <v>245</v>
      </c>
      <c r="B204" s="1">
        <v>-29.061383330000002</v>
      </c>
      <c r="C204" s="1">
        <v>137.0111</v>
      </c>
      <c r="D204" t="s">
        <v>882</v>
      </c>
      <c r="E204" t="s">
        <v>883</v>
      </c>
      <c r="F204" t="str">
        <f t="shared" si="53"/>
        <v>-29° 3' 40.98"</v>
      </c>
      <c r="G204" t="str">
        <f t="shared" si="54"/>
        <v>137° 0' 39.96"</v>
      </c>
      <c r="H204" s="5">
        <f t="shared" si="55"/>
        <v>29</v>
      </c>
      <c r="I204" s="5">
        <f t="shared" si="56"/>
        <v>-29</v>
      </c>
      <c r="J204" s="5">
        <f t="shared" si="57"/>
        <v>3</v>
      </c>
      <c r="K204" s="5">
        <f t="shared" si="58"/>
        <v>40.98</v>
      </c>
      <c r="L204" s="5">
        <f t="shared" si="59"/>
        <v>137</v>
      </c>
      <c r="M204" s="5">
        <f t="shared" si="60"/>
        <v>0</v>
      </c>
      <c r="N204" s="5">
        <f t="shared" si="61"/>
        <v>39.96</v>
      </c>
      <c r="O204" s="1">
        <v>15</v>
      </c>
      <c r="P204">
        <f t="shared" si="51"/>
        <v>1.4999999999999999E-2</v>
      </c>
      <c r="Q204" s="4" t="s">
        <v>265</v>
      </c>
      <c r="R204" t="str">
        <f t="shared" si="52"/>
        <v>19/09/2014</v>
      </c>
      <c r="S204">
        <f t="shared" si="62"/>
        <v>2014</v>
      </c>
      <c r="T204">
        <f t="shared" si="63"/>
        <v>9</v>
      </c>
      <c r="U204" t="str">
        <f t="shared" si="64"/>
        <v>09</v>
      </c>
      <c r="V204">
        <f t="shared" si="65"/>
        <v>19</v>
      </c>
      <c r="W204" t="str">
        <f t="shared" si="66"/>
        <v>19</v>
      </c>
      <c r="X204" t="str">
        <f t="shared" si="67"/>
        <v>https://api.geomagnetism.ga.gov.au/agrf?latd=-29&amp;latm=3&amp;lats=40.98&amp;lond=137&amp;lonm=0&amp;lons=39.96&amp;year=2014&amp;month=09&amp;day=19&amp;elev=0.015&amp;Ein=D&amp;Ein=d</v>
      </c>
    </row>
    <row r="205" spans="1:24" ht="17" x14ac:dyDescent="0.25">
      <c r="A205" s="1" t="s">
        <v>246</v>
      </c>
      <c r="B205" s="1">
        <v>-31.97298</v>
      </c>
      <c r="C205" s="1">
        <v>137.03886</v>
      </c>
      <c r="D205" t="s">
        <v>884</v>
      </c>
      <c r="E205" t="s">
        <v>885</v>
      </c>
      <c r="F205" t="str">
        <f t="shared" si="53"/>
        <v>-31° 58' 22.73"</v>
      </c>
      <c r="G205" t="str">
        <f t="shared" si="54"/>
        <v>137° 2' 19.90"</v>
      </c>
      <c r="H205" s="5">
        <f t="shared" si="55"/>
        <v>31</v>
      </c>
      <c r="I205" s="5">
        <f t="shared" si="56"/>
        <v>-31</v>
      </c>
      <c r="J205" s="5">
        <f t="shared" si="57"/>
        <v>58</v>
      </c>
      <c r="K205" s="5">
        <f t="shared" si="58"/>
        <v>22.73</v>
      </c>
      <c r="L205" s="5">
        <f t="shared" si="59"/>
        <v>137</v>
      </c>
      <c r="M205" s="5">
        <f t="shared" si="60"/>
        <v>2</v>
      </c>
      <c r="N205" s="5">
        <f t="shared" si="61"/>
        <v>19.899999999999999</v>
      </c>
      <c r="O205" s="1">
        <v>123</v>
      </c>
      <c r="P205">
        <f t="shared" si="51"/>
        <v>0.123</v>
      </c>
      <c r="Q205" s="3" t="s">
        <v>275</v>
      </c>
      <c r="R205" t="str">
        <f t="shared" si="52"/>
        <v>21/09/2014</v>
      </c>
      <c r="S205">
        <f t="shared" si="62"/>
        <v>2014</v>
      </c>
      <c r="T205">
        <f t="shared" si="63"/>
        <v>9</v>
      </c>
      <c r="U205" t="str">
        <f t="shared" si="64"/>
        <v>09</v>
      </c>
      <c r="V205">
        <f t="shared" si="65"/>
        <v>21</v>
      </c>
      <c r="W205" t="str">
        <f t="shared" si="66"/>
        <v>21</v>
      </c>
      <c r="X205" t="str">
        <f t="shared" si="67"/>
        <v>https://api.geomagnetism.ga.gov.au/agrf?latd=-31&amp;latm=58&amp;lats=22.73&amp;lond=137&amp;lonm=2&amp;lons=19.9&amp;year=2014&amp;month=09&amp;day=21&amp;elev=0.123&amp;Ein=D&amp;Ein=d</v>
      </c>
    </row>
    <row r="206" spans="1:24" ht="17" x14ac:dyDescent="0.25">
      <c r="A206" s="1" t="s">
        <v>247</v>
      </c>
      <c r="B206" s="1">
        <v>-31.97298</v>
      </c>
      <c r="C206" s="1">
        <v>137.03886</v>
      </c>
      <c r="D206" t="s">
        <v>884</v>
      </c>
      <c r="E206" t="s">
        <v>885</v>
      </c>
      <c r="F206" t="str">
        <f t="shared" si="53"/>
        <v>-31° 58' 22.73"</v>
      </c>
      <c r="G206" t="str">
        <f t="shared" si="54"/>
        <v>137° 2' 19.90"</v>
      </c>
      <c r="H206" s="5">
        <f t="shared" si="55"/>
        <v>31</v>
      </c>
      <c r="I206" s="5">
        <f t="shared" si="56"/>
        <v>-31</v>
      </c>
      <c r="J206" s="5">
        <f t="shared" si="57"/>
        <v>58</v>
      </c>
      <c r="K206" s="5">
        <f t="shared" si="58"/>
        <v>22.73</v>
      </c>
      <c r="L206" s="5">
        <f t="shared" si="59"/>
        <v>137</v>
      </c>
      <c r="M206" s="5">
        <f t="shared" si="60"/>
        <v>2</v>
      </c>
      <c r="N206" s="5">
        <f t="shared" si="61"/>
        <v>19.899999999999999</v>
      </c>
      <c r="O206" s="1">
        <v>123</v>
      </c>
      <c r="P206">
        <f t="shared" si="51"/>
        <v>0.123</v>
      </c>
      <c r="Q206" s="3" t="s">
        <v>267</v>
      </c>
      <c r="R206" t="str">
        <f t="shared" si="52"/>
        <v>24/10/2014</v>
      </c>
      <c r="S206">
        <f t="shared" si="62"/>
        <v>2014</v>
      </c>
      <c r="T206">
        <f t="shared" si="63"/>
        <v>10</v>
      </c>
      <c r="U206" t="str">
        <f t="shared" si="64"/>
        <v>10</v>
      </c>
      <c r="V206">
        <f t="shared" si="65"/>
        <v>24</v>
      </c>
      <c r="W206" t="str">
        <f t="shared" si="66"/>
        <v>24</v>
      </c>
      <c r="X206" t="str">
        <f t="shared" si="67"/>
        <v>https://api.geomagnetism.ga.gov.au/agrf?latd=-31&amp;latm=58&amp;lats=22.73&amp;lond=137&amp;lonm=2&amp;lons=19.9&amp;year=2014&amp;month=10&amp;day=24&amp;elev=0.123&amp;Ein=D&amp;Ein=d</v>
      </c>
    </row>
    <row r="207" spans="1:24" ht="17" x14ac:dyDescent="0.25">
      <c r="A207" s="1" t="s">
        <v>248</v>
      </c>
      <c r="B207" s="1">
        <v>-29.137899999999998</v>
      </c>
      <c r="C207" s="1">
        <v>137.42321670000001</v>
      </c>
      <c r="D207" t="s">
        <v>886</v>
      </c>
      <c r="E207" t="s">
        <v>887</v>
      </c>
      <c r="F207" t="str">
        <f t="shared" si="53"/>
        <v>-29° 8' 16.44"</v>
      </c>
      <c r="G207" t="str">
        <f t="shared" si="54"/>
        <v>137° 25' 23.58"</v>
      </c>
      <c r="H207" s="5">
        <f t="shared" si="55"/>
        <v>29</v>
      </c>
      <c r="I207" s="5">
        <f t="shared" si="56"/>
        <v>-29</v>
      </c>
      <c r="J207" s="5">
        <f t="shared" si="57"/>
        <v>8</v>
      </c>
      <c r="K207" s="5">
        <f t="shared" si="58"/>
        <v>16.440000000000001</v>
      </c>
      <c r="L207" s="5">
        <f t="shared" si="59"/>
        <v>137</v>
      </c>
      <c r="M207" s="5">
        <f t="shared" si="60"/>
        <v>25</v>
      </c>
      <c r="N207" s="5">
        <f t="shared" si="61"/>
        <v>23.58</v>
      </c>
      <c r="O207" s="1">
        <v>11</v>
      </c>
      <c r="P207">
        <f t="shared" si="51"/>
        <v>1.0999999999999999E-2</v>
      </c>
      <c r="Q207" s="3" t="s">
        <v>274</v>
      </c>
      <c r="R207" t="str">
        <f t="shared" si="52"/>
        <v>20/09/2014</v>
      </c>
      <c r="S207">
        <f t="shared" si="62"/>
        <v>2014</v>
      </c>
      <c r="T207">
        <f t="shared" si="63"/>
        <v>9</v>
      </c>
      <c r="U207" t="str">
        <f t="shared" si="64"/>
        <v>09</v>
      </c>
      <c r="V207">
        <f t="shared" si="65"/>
        <v>20</v>
      </c>
      <c r="W207" t="str">
        <f t="shared" si="66"/>
        <v>20</v>
      </c>
      <c r="X207" t="str">
        <f t="shared" si="67"/>
        <v>https://api.geomagnetism.ga.gov.au/agrf?latd=-29&amp;latm=8&amp;lats=16.44&amp;lond=137&amp;lonm=25&amp;lons=23.58&amp;year=2014&amp;month=09&amp;day=20&amp;elev=0.011&amp;Ein=D&amp;Ein=d</v>
      </c>
    </row>
    <row r="208" spans="1:24" ht="17" x14ac:dyDescent="0.25">
      <c r="A208" s="1" t="s">
        <v>291</v>
      </c>
      <c r="B208" s="1">
        <v>-28.994879999999998</v>
      </c>
      <c r="C208" s="1">
        <v>140.99526</v>
      </c>
      <c r="D208" t="s">
        <v>888</v>
      </c>
      <c r="E208" t="s">
        <v>889</v>
      </c>
      <c r="F208" t="str">
        <f t="shared" si="53"/>
        <v>-28° 59' 41.57"</v>
      </c>
      <c r="G208" t="str">
        <f t="shared" si="54"/>
        <v>140° 59' 42.94"</v>
      </c>
      <c r="H208" s="5">
        <f t="shared" si="55"/>
        <v>28</v>
      </c>
      <c r="I208" s="5">
        <f t="shared" si="56"/>
        <v>-28</v>
      </c>
      <c r="J208" s="5">
        <f t="shared" si="57"/>
        <v>59</v>
      </c>
      <c r="K208" s="5">
        <f t="shared" si="58"/>
        <v>41.57</v>
      </c>
      <c r="L208" s="5">
        <f t="shared" si="59"/>
        <v>140</v>
      </c>
      <c r="M208" s="5">
        <f t="shared" si="60"/>
        <v>59</v>
      </c>
      <c r="N208" s="5">
        <f t="shared" si="61"/>
        <v>42.94</v>
      </c>
      <c r="O208" s="1">
        <v>110</v>
      </c>
      <c r="P208">
        <f t="shared" si="51"/>
        <v>0.11</v>
      </c>
      <c r="Q208" s="3" t="s">
        <v>389</v>
      </c>
      <c r="R208" t="str">
        <f t="shared" si="52"/>
        <v>16/03/2017</v>
      </c>
      <c r="S208">
        <f t="shared" si="62"/>
        <v>2017</v>
      </c>
      <c r="T208">
        <f t="shared" si="63"/>
        <v>3</v>
      </c>
      <c r="U208" t="str">
        <f t="shared" si="64"/>
        <v>03</v>
      </c>
      <c r="V208">
        <f t="shared" si="65"/>
        <v>16</v>
      </c>
      <c r="W208" t="str">
        <f t="shared" si="66"/>
        <v>16</v>
      </c>
      <c r="X208" t="str">
        <f t="shared" si="67"/>
        <v>https://api.geomagnetism.ga.gov.au/agrf?latd=-28&amp;latm=59&amp;lats=41.57&amp;lond=140&amp;lonm=59&amp;lons=42.94&amp;year=2017&amp;month=03&amp;day=16&amp;elev=0.11&amp;Ein=D&amp;Ein=d</v>
      </c>
    </row>
    <row r="209" spans="1:24" ht="17" x14ac:dyDescent="0.25">
      <c r="A209" s="1" t="s">
        <v>292</v>
      </c>
      <c r="B209" s="1">
        <v>-28.980309999999999</v>
      </c>
      <c r="C209" s="1">
        <v>140.50457</v>
      </c>
      <c r="D209" t="s">
        <v>890</v>
      </c>
      <c r="E209" t="s">
        <v>891</v>
      </c>
      <c r="F209" t="str">
        <f t="shared" si="53"/>
        <v>-28° 58' 49.12"</v>
      </c>
      <c r="G209" t="str">
        <f t="shared" si="54"/>
        <v>140° 30' 16.45"</v>
      </c>
      <c r="H209" s="5">
        <f t="shared" si="55"/>
        <v>28</v>
      </c>
      <c r="I209" s="5">
        <f t="shared" si="56"/>
        <v>-28</v>
      </c>
      <c r="J209" s="5">
        <f t="shared" si="57"/>
        <v>58</v>
      </c>
      <c r="K209" s="5">
        <f t="shared" si="58"/>
        <v>49.12</v>
      </c>
      <c r="L209" s="5">
        <f t="shared" si="59"/>
        <v>140</v>
      </c>
      <c r="M209" s="5">
        <f t="shared" si="60"/>
        <v>30</v>
      </c>
      <c r="N209" s="5">
        <f t="shared" si="61"/>
        <v>16.45</v>
      </c>
      <c r="O209" s="1">
        <v>56</v>
      </c>
      <c r="P209">
        <f t="shared" si="51"/>
        <v>5.6000000000000001E-2</v>
      </c>
      <c r="Q209" s="3" t="s">
        <v>389</v>
      </c>
      <c r="R209" t="str">
        <f t="shared" si="52"/>
        <v>16/03/2017</v>
      </c>
      <c r="S209">
        <f t="shared" si="62"/>
        <v>2017</v>
      </c>
      <c r="T209">
        <f t="shared" si="63"/>
        <v>3</v>
      </c>
      <c r="U209" t="str">
        <f t="shared" si="64"/>
        <v>03</v>
      </c>
      <c r="V209">
        <f t="shared" si="65"/>
        <v>16</v>
      </c>
      <c r="W209" t="str">
        <f t="shared" si="66"/>
        <v>16</v>
      </c>
      <c r="X209" t="str">
        <f t="shared" si="67"/>
        <v>https://api.geomagnetism.ga.gov.au/agrf?latd=-28&amp;latm=58&amp;lats=49.12&amp;lond=140&amp;lonm=30&amp;lons=16.45&amp;year=2017&amp;month=03&amp;day=16&amp;elev=0.056&amp;Ein=D&amp;Ein=d</v>
      </c>
    </row>
    <row r="210" spans="1:24" ht="17" x14ac:dyDescent="0.25">
      <c r="A210" s="1" t="s">
        <v>293</v>
      </c>
      <c r="B210" s="1">
        <v>-28.98029</v>
      </c>
      <c r="C210" s="1">
        <v>140.50456</v>
      </c>
      <c r="D210" t="s">
        <v>892</v>
      </c>
      <c r="E210" t="s">
        <v>893</v>
      </c>
      <c r="F210" t="str">
        <f t="shared" si="53"/>
        <v>-28° 58' 49.04"</v>
      </c>
      <c r="G210" t="str">
        <f t="shared" si="54"/>
        <v>140° 30' 16.42"</v>
      </c>
      <c r="H210" s="5">
        <f t="shared" si="55"/>
        <v>28</v>
      </c>
      <c r="I210" s="5">
        <f t="shared" si="56"/>
        <v>-28</v>
      </c>
      <c r="J210" s="5">
        <f t="shared" si="57"/>
        <v>58</v>
      </c>
      <c r="K210" s="5">
        <f t="shared" si="58"/>
        <v>49.04</v>
      </c>
      <c r="L210" s="5">
        <f t="shared" si="59"/>
        <v>140</v>
      </c>
      <c r="M210" s="5">
        <f t="shared" si="60"/>
        <v>30</v>
      </c>
      <c r="N210" s="5">
        <f t="shared" si="61"/>
        <v>16.420000000000002</v>
      </c>
      <c r="O210" s="1">
        <v>56</v>
      </c>
      <c r="P210">
        <f t="shared" si="51"/>
        <v>5.6000000000000001E-2</v>
      </c>
      <c r="Q210" s="3" t="s">
        <v>390</v>
      </c>
      <c r="R210" t="str">
        <f t="shared" si="52"/>
        <v>21/06/2017</v>
      </c>
      <c r="S210">
        <f t="shared" si="62"/>
        <v>2017</v>
      </c>
      <c r="T210">
        <f t="shared" si="63"/>
        <v>6</v>
      </c>
      <c r="U210" t="str">
        <f t="shared" si="64"/>
        <v>06</v>
      </c>
      <c r="V210">
        <f t="shared" si="65"/>
        <v>21</v>
      </c>
      <c r="W210" t="str">
        <f t="shared" si="66"/>
        <v>21</v>
      </c>
      <c r="X210" t="str">
        <f t="shared" si="67"/>
        <v>https://api.geomagnetism.ga.gov.au/agrf?latd=-28&amp;latm=58&amp;lats=49.04&amp;lond=140&amp;lonm=30&amp;lons=16.42&amp;year=2017&amp;month=06&amp;day=21&amp;elev=0.056&amp;Ein=D&amp;Ein=d</v>
      </c>
    </row>
    <row r="211" spans="1:24" ht="17" x14ac:dyDescent="0.25">
      <c r="A211" s="1" t="s">
        <v>294</v>
      </c>
      <c r="B211" s="1">
        <v>-28.990580000000001</v>
      </c>
      <c r="C211" s="1">
        <v>140.0147</v>
      </c>
      <c r="D211" t="s">
        <v>894</v>
      </c>
      <c r="E211" t="s">
        <v>895</v>
      </c>
      <c r="F211" t="str">
        <f t="shared" si="53"/>
        <v>-28° 59' 26.09"</v>
      </c>
      <c r="G211" t="str">
        <f t="shared" si="54"/>
        <v>140° 0' 52.92"</v>
      </c>
      <c r="H211" s="5">
        <f t="shared" si="55"/>
        <v>28</v>
      </c>
      <c r="I211" s="5">
        <f t="shared" si="56"/>
        <v>-28</v>
      </c>
      <c r="J211" s="5">
        <f t="shared" si="57"/>
        <v>59</v>
      </c>
      <c r="K211" s="5">
        <f t="shared" si="58"/>
        <v>26.09</v>
      </c>
      <c r="L211" s="5">
        <f t="shared" si="59"/>
        <v>140</v>
      </c>
      <c r="M211" s="5">
        <f t="shared" si="60"/>
        <v>0</v>
      </c>
      <c r="N211" s="5">
        <f t="shared" si="61"/>
        <v>52.92</v>
      </c>
      <c r="O211" s="1">
        <v>17</v>
      </c>
      <c r="P211">
        <f t="shared" si="51"/>
        <v>1.7000000000000001E-2</v>
      </c>
      <c r="Q211" s="3" t="s">
        <v>166</v>
      </c>
      <c r="R211" t="str">
        <f t="shared" si="52"/>
        <v>20/03/2017</v>
      </c>
      <c r="S211">
        <f t="shared" si="62"/>
        <v>2017</v>
      </c>
      <c r="T211">
        <f t="shared" si="63"/>
        <v>3</v>
      </c>
      <c r="U211" t="str">
        <f t="shared" si="64"/>
        <v>03</v>
      </c>
      <c r="V211">
        <f t="shared" si="65"/>
        <v>20</v>
      </c>
      <c r="W211" t="str">
        <f t="shared" si="66"/>
        <v>20</v>
      </c>
      <c r="X211" t="str">
        <f t="shared" si="67"/>
        <v>https://api.geomagnetism.ga.gov.au/agrf?latd=-28&amp;latm=59&amp;lats=26.09&amp;lond=140&amp;lonm=0&amp;lons=52.92&amp;year=2017&amp;month=03&amp;day=20&amp;elev=0.017&amp;Ein=D&amp;Ein=d</v>
      </c>
    </row>
    <row r="212" spans="1:24" ht="17" x14ac:dyDescent="0.25">
      <c r="A212" s="1" t="s">
        <v>295</v>
      </c>
      <c r="B212" s="1">
        <v>-28.998360000000002</v>
      </c>
      <c r="C212" s="1">
        <v>139.49950000000001</v>
      </c>
      <c r="D212" t="s">
        <v>896</v>
      </c>
      <c r="E212" t="s">
        <v>897</v>
      </c>
      <c r="F212" t="str">
        <f t="shared" si="53"/>
        <v>-28° 59' 54.10"</v>
      </c>
      <c r="G212" t="str">
        <f t="shared" si="54"/>
        <v>139° 29' 58.20"</v>
      </c>
      <c r="H212" s="5">
        <f t="shared" si="55"/>
        <v>28</v>
      </c>
      <c r="I212" s="5">
        <f t="shared" si="56"/>
        <v>-28</v>
      </c>
      <c r="J212" s="5">
        <f t="shared" si="57"/>
        <v>59</v>
      </c>
      <c r="K212" s="5">
        <f t="shared" si="58"/>
        <v>54.1</v>
      </c>
      <c r="L212" s="5">
        <f t="shared" si="59"/>
        <v>139</v>
      </c>
      <c r="M212" s="5">
        <f t="shared" si="60"/>
        <v>29</v>
      </c>
      <c r="N212" s="5">
        <f t="shared" si="61"/>
        <v>58.2</v>
      </c>
      <c r="O212" s="1">
        <v>31</v>
      </c>
      <c r="P212">
        <f t="shared" si="51"/>
        <v>3.1E-2</v>
      </c>
      <c r="Q212" s="3" t="s">
        <v>166</v>
      </c>
      <c r="R212" t="str">
        <f t="shared" si="52"/>
        <v>20/03/2017</v>
      </c>
      <c r="S212">
        <f t="shared" si="62"/>
        <v>2017</v>
      </c>
      <c r="T212">
        <f t="shared" si="63"/>
        <v>3</v>
      </c>
      <c r="U212" t="str">
        <f t="shared" si="64"/>
        <v>03</v>
      </c>
      <c r="V212">
        <f t="shared" si="65"/>
        <v>20</v>
      </c>
      <c r="W212" t="str">
        <f t="shared" si="66"/>
        <v>20</v>
      </c>
      <c r="X212" t="str">
        <f t="shared" si="67"/>
        <v>https://api.geomagnetism.ga.gov.au/agrf?latd=-28&amp;latm=59&amp;lats=54.1&amp;lond=139&amp;lonm=29&amp;lons=58.2&amp;year=2017&amp;month=03&amp;day=20&amp;elev=0.031&amp;Ein=D&amp;Ein=d</v>
      </c>
    </row>
    <row r="213" spans="1:24" ht="17" x14ac:dyDescent="0.25">
      <c r="A213" s="1" t="s">
        <v>296</v>
      </c>
      <c r="B213" s="1">
        <v>-28.998360000000002</v>
      </c>
      <c r="C213" s="1">
        <v>139.49950000000001</v>
      </c>
      <c r="D213" t="s">
        <v>896</v>
      </c>
      <c r="E213" t="s">
        <v>897</v>
      </c>
      <c r="F213" t="str">
        <f t="shared" si="53"/>
        <v>-28° 59' 54.10"</v>
      </c>
      <c r="G213" t="str">
        <f t="shared" si="54"/>
        <v>139° 29' 58.20"</v>
      </c>
      <c r="H213" s="5">
        <f t="shared" si="55"/>
        <v>28</v>
      </c>
      <c r="I213" s="5">
        <f t="shared" si="56"/>
        <v>-28</v>
      </c>
      <c r="J213" s="5">
        <f t="shared" si="57"/>
        <v>59</v>
      </c>
      <c r="K213" s="5">
        <f t="shared" si="58"/>
        <v>54.1</v>
      </c>
      <c r="L213" s="5">
        <f t="shared" si="59"/>
        <v>139</v>
      </c>
      <c r="M213" s="5">
        <f t="shared" si="60"/>
        <v>29</v>
      </c>
      <c r="N213" s="5">
        <f t="shared" si="61"/>
        <v>58.2</v>
      </c>
      <c r="O213" s="1">
        <v>31</v>
      </c>
      <c r="P213">
        <f t="shared" si="51"/>
        <v>3.1E-2</v>
      </c>
      <c r="Q213" s="3" t="s">
        <v>390</v>
      </c>
      <c r="R213" t="str">
        <f t="shared" si="52"/>
        <v>21/06/2017</v>
      </c>
      <c r="S213">
        <f t="shared" si="62"/>
        <v>2017</v>
      </c>
      <c r="T213">
        <f t="shared" si="63"/>
        <v>6</v>
      </c>
      <c r="U213" t="str">
        <f t="shared" si="64"/>
        <v>06</v>
      </c>
      <c r="V213">
        <f t="shared" si="65"/>
        <v>21</v>
      </c>
      <c r="W213" t="str">
        <f t="shared" si="66"/>
        <v>21</v>
      </c>
      <c r="X213" t="str">
        <f t="shared" si="67"/>
        <v>https://api.geomagnetism.ga.gov.au/agrf?latd=-28&amp;latm=59&amp;lats=54.1&amp;lond=139&amp;lonm=29&amp;lons=58.2&amp;year=2017&amp;month=06&amp;day=21&amp;elev=0.031&amp;Ein=D&amp;Ein=d</v>
      </c>
    </row>
    <row r="214" spans="1:24" ht="17" x14ac:dyDescent="0.25">
      <c r="A214" s="1" t="s">
        <v>297</v>
      </c>
      <c r="B214" s="1">
        <v>-28.999369999999999</v>
      </c>
      <c r="C214" s="1">
        <v>138.98559</v>
      </c>
      <c r="D214" t="s">
        <v>898</v>
      </c>
      <c r="E214" t="s">
        <v>899</v>
      </c>
      <c r="F214" t="str">
        <f t="shared" si="53"/>
        <v>-28° 59' 57.73"</v>
      </c>
      <c r="G214" t="str">
        <f t="shared" si="54"/>
        <v>138° 59' 8.12"</v>
      </c>
      <c r="H214" s="5">
        <f t="shared" si="55"/>
        <v>28</v>
      </c>
      <c r="I214" s="5">
        <f t="shared" si="56"/>
        <v>-28</v>
      </c>
      <c r="J214" s="5">
        <f t="shared" si="57"/>
        <v>59</v>
      </c>
      <c r="K214" s="5">
        <f t="shared" si="58"/>
        <v>57.73</v>
      </c>
      <c r="L214" s="5">
        <f t="shared" si="59"/>
        <v>138</v>
      </c>
      <c r="M214" s="5">
        <f t="shared" si="60"/>
        <v>59</v>
      </c>
      <c r="N214" s="5">
        <f t="shared" si="61"/>
        <v>8.1199999999999992</v>
      </c>
      <c r="O214" s="1">
        <v>5</v>
      </c>
      <c r="P214">
        <f t="shared" si="51"/>
        <v>5.0000000000000001E-3</v>
      </c>
      <c r="Q214" s="3" t="s">
        <v>391</v>
      </c>
      <c r="R214" t="str">
        <f t="shared" si="52"/>
        <v>21/03/2017</v>
      </c>
      <c r="S214">
        <f t="shared" si="62"/>
        <v>2017</v>
      </c>
      <c r="T214">
        <f t="shared" si="63"/>
        <v>3</v>
      </c>
      <c r="U214" t="str">
        <f t="shared" si="64"/>
        <v>03</v>
      </c>
      <c r="V214">
        <f t="shared" si="65"/>
        <v>21</v>
      </c>
      <c r="W214" t="str">
        <f t="shared" si="66"/>
        <v>21</v>
      </c>
      <c r="X214" t="str">
        <f t="shared" si="67"/>
        <v>https://api.geomagnetism.ga.gov.au/agrf?latd=-28&amp;latm=59&amp;lats=57.73&amp;lond=138&amp;lonm=59&amp;lons=8.12&amp;year=2017&amp;month=03&amp;day=21&amp;elev=0.005&amp;Ein=D&amp;Ein=d</v>
      </c>
    </row>
    <row r="215" spans="1:24" ht="17" x14ac:dyDescent="0.25">
      <c r="A215" s="1" t="s">
        <v>298</v>
      </c>
      <c r="B215" s="1">
        <v>-29.011430000000001</v>
      </c>
      <c r="C215" s="1">
        <v>138.46412000000001</v>
      </c>
      <c r="D215" t="s">
        <v>900</v>
      </c>
      <c r="E215" t="s">
        <v>901</v>
      </c>
      <c r="F215" t="str">
        <f t="shared" si="53"/>
        <v>-29° 0' 41.15"</v>
      </c>
      <c r="G215" t="str">
        <f t="shared" si="54"/>
        <v>138° 27' 50.83"</v>
      </c>
      <c r="H215" s="5">
        <f t="shared" si="55"/>
        <v>29</v>
      </c>
      <c r="I215" s="5">
        <f t="shared" si="56"/>
        <v>-29</v>
      </c>
      <c r="J215" s="5">
        <f t="shared" si="57"/>
        <v>0</v>
      </c>
      <c r="K215" s="5">
        <f t="shared" si="58"/>
        <v>41.15</v>
      </c>
      <c r="L215" s="5">
        <f t="shared" si="59"/>
        <v>138</v>
      </c>
      <c r="M215" s="5">
        <f t="shared" si="60"/>
        <v>27</v>
      </c>
      <c r="N215" s="5">
        <f t="shared" si="61"/>
        <v>50.83</v>
      </c>
      <c r="O215" s="1">
        <v>29</v>
      </c>
      <c r="P215">
        <f t="shared" si="51"/>
        <v>2.9000000000000001E-2</v>
      </c>
      <c r="Q215" s="3" t="s">
        <v>390</v>
      </c>
      <c r="R215" t="str">
        <f t="shared" si="52"/>
        <v>21/06/2017</v>
      </c>
      <c r="S215">
        <f t="shared" si="62"/>
        <v>2017</v>
      </c>
      <c r="T215">
        <f t="shared" si="63"/>
        <v>6</v>
      </c>
      <c r="U215" t="str">
        <f t="shared" si="64"/>
        <v>06</v>
      </c>
      <c r="V215">
        <f t="shared" si="65"/>
        <v>21</v>
      </c>
      <c r="W215" t="str">
        <f t="shared" si="66"/>
        <v>21</v>
      </c>
      <c r="X215" t="str">
        <f t="shared" si="67"/>
        <v>https://api.geomagnetism.ga.gov.au/agrf?latd=-29&amp;latm=0&amp;lats=41.15&amp;lond=138&amp;lonm=27&amp;lons=50.83&amp;year=2017&amp;month=06&amp;day=21&amp;elev=0.029&amp;Ein=D&amp;Ein=d</v>
      </c>
    </row>
    <row r="216" spans="1:24" ht="17" x14ac:dyDescent="0.25">
      <c r="A216" s="1" t="s">
        <v>299</v>
      </c>
      <c r="B216" s="1">
        <v>-29.01191</v>
      </c>
      <c r="C216" s="1">
        <v>138.46283</v>
      </c>
      <c r="D216" t="s">
        <v>902</v>
      </c>
      <c r="E216" t="s">
        <v>903</v>
      </c>
      <c r="F216" t="str">
        <f t="shared" si="53"/>
        <v>-29° 0' 42.88"</v>
      </c>
      <c r="G216" t="str">
        <f t="shared" si="54"/>
        <v>138° 27' 46.19"</v>
      </c>
      <c r="H216" s="5">
        <f t="shared" si="55"/>
        <v>29</v>
      </c>
      <c r="I216" s="5">
        <f t="shared" si="56"/>
        <v>-29</v>
      </c>
      <c r="J216" s="5">
        <f t="shared" si="57"/>
        <v>0</v>
      </c>
      <c r="K216" s="5">
        <f t="shared" si="58"/>
        <v>42.88</v>
      </c>
      <c r="L216" s="5">
        <f t="shared" si="59"/>
        <v>138</v>
      </c>
      <c r="M216" s="5">
        <f t="shared" si="60"/>
        <v>27</v>
      </c>
      <c r="N216" s="5">
        <f t="shared" si="61"/>
        <v>46.19</v>
      </c>
      <c r="O216" s="1">
        <v>29</v>
      </c>
      <c r="P216">
        <f t="shared" si="51"/>
        <v>2.9000000000000001E-2</v>
      </c>
      <c r="Q216" s="3" t="s">
        <v>390</v>
      </c>
      <c r="R216" t="str">
        <f t="shared" si="52"/>
        <v>21/06/2017</v>
      </c>
      <c r="S216">
        <f t="shared" si="62"/>
        <v>2017</v>
      </c>
      <c r="T216">
        <f t="shared" si="63"/>
        <v>6</v>
      </c>
      <c r="U216" t="str">
        <f t="shared" si="64"/>
        <v>06</v>
      </c>
      <c r="V216">
        <f t="shared" si="65"/>
        <v>21</v>
      </c>
      <c r="W216" t="str">
        <f t="shared" si="66"/>
        <v>21</v>
      </c>
      <c r="X216" t="str">
        <f t="shared" si="67"/>
        <v>https://api.geomagnetism.ga.gov.au/agrf?latd=-29&amp;latm=0&amp;lats=42.88&amp;lond=138&amp;lonm=27&amp;lons=46.19&amp;year=2017&amp;month=06&amp;day=21&amp;elev=0.029&amp;Ein=D&amp;Ein=d</v>
      </c>
    </row>
    <row r="217" spans="1:24" ht="17" x14ac:dyDescent="0.25">
      <c r="A217" s="1" t="s">
        <v>300</v>
      </c>
      <c r="B217" s="1">
        <v>-28.997859999999999</v>
      </c>
      <c r="C217" s="1">
        <v>138.00169</v>
      </c>
      <c r="D217" t="s">
        <v>904</v>
      </c>
      <c r="E217" t="s">
        <v>905</v>
      </c>
      <c r="F217" t="str">
        <f t="shared" si="53"/>
        <v>-28° 59' 52.30"</v>
      </c>
      <c r="G217" t="str">
        <f t="shared" si="54"/>
        <v>138° 0' 6.08"</v>
      </c>
      <c r="H217" s="5">
        <f t="shared" si="55"/>
        <v>28</v>
      </c>
      <c r="I217" s="5">
        <f t="shared" si="56"/>
        <v>-28</v>
      </c>
      <c r="J217" s="5">
        <f t="shared" si="57"/>
        <v>59</v>
      </c>
      <c r="K217" s="5">
        <f t="shared" si="58"/>
        <v>52.3</v>
      </c>
      <c r="L217" s="5">
        <f t="shared" si="59"/>
        <v>138</v>
      </c>
      <c r="M217" s="5">
        <f t="shared" si="60"/>
        <v>0</v>
      </c>
      <c r="N217" s="5">
        <f t="shared" si="61"/>
        <v>6.08</v>
      </c>
      <c r="O217" s="1">
        <v>1</v>
      </c>
      <c r="P217">
        <f t="shared" si="51"/>
        <v>1E-3</v>
      </c>
      <c r="Q217" s="3" t="s">
        <v>392</v>
      </c>
      <c r="R217" t="str">
        <f t="shared" si="52"/>
        <v>24/04/2017</v>
      </c>
      <c r="S217">
        <f t="shared" si="62"/>
        <v>2017</v>
      </c>
      <c r="T217">
        <f t="shared" si="63"/>
        <v>4</v>
      </c>
      <c r="U217" t="str">
        <f t="shared" si="64"/>
        <v>04</v>
      </c>
      <c r="V217">
        <f t="shared" si="65"/>
        <v>24</v>
      </c>
      <c r="W217" t="str">
        <f t="shared" si="66"/>
        <v>24</v>
      </c>
      <c r="X217" t="str">
        <f t="shared" si="67"/>
        <v>https://api.geomagnetism.ga.gov.au/agrf?latd=-28&amp;latm=59&amp;lats=52.3&amp;lond=138&amp;lonm=0&amp;lons=6.08&amp;year=2017&amp;month=04&amp;day=24&amp;elev=0.001&amp;Ein=D&amp;Ein=d</v>
      </c>
    </row>
    <row r="218" spans="1:24" ht="17" x14ac:dyDescent="0.25">
      <c r="A218" s="1" t="s">
        <v>301</v>
      </c>
      <c r="B218" s="1">
        <v>-28.490539999999999</v>
      </c>
      <c r="C218" s="1">
        <v>140.99737999999999</v>
      </c>
      <c r="D218" t="s">
        <v>906</v>
      </c>
      <c r="E218" t="s">
        <v>907</v>
      </c>
      <c r="F218" t="str">
        <f t="shared" si="53"/>
        <v>-28° 29' 25.94"</v>
      </c>
      <c r="G218" t="str">
        <f t="shared" si="54"/>
        <v>140° 59' 50.57"</v>
      </c>
      <c r="H218" s="5">
        <f t="shared" si="55"/>
        <v>28</v>
      </c>
      <c r="I218" s="5">
        <f t="shared" si="56"/>
        <v>-28</v>
      </c>
      <c r="J218" s="5">
        <f t="shared" si="57"/>
        <v>29</v>
      </c>
      <c r="K218" s="5">
        <f t="shared" si="58"/>
        <v>25.94</v>
      </c>
      <c r="L218" s="5">
        <f t="shared" si="59"/>
        <v>140</v>
      </c>
      <c r="M218" s="5">
        <f t="shared" si="60"/>
        <v>59</v>
      </c>
      <c r="N218" s="5">
        <f t="shared" si="61"/>
        <v>50.57</v>
      </c>
      <c r="O218" s="1">
        <v>92</v>
      </c>
      <c r="P218">
        <f t="shared" si="51"/>
        <v>9.1999999999999998E-2</v>
      </c>
      <c r="Q218" s="3" t="s">
        <v>389</v>
      </c>
      <c r="R218" t="str">
        <f t="shared" si="52"/>
        <v>16/03/2017</v>
      </c>
      <c r="S218">
        <f t="shared" si="62"/>
        <v>2017</v>
      </c>
      <c r="T218">
        <f t="shared" si="63"/>
        <v>3</v>
      </c>
      <c r="U218" t="str">
        <f t="shared" si="64"/>
        <v>03</v>
      </c>
      <c r="V218">
        <f t="shared" si="65"/>
        <v>16</v>
      </c>
      <c r="W218" t="str">
        <f t="shared" si="66"/>
        <v>16</v>
      </c>
      <c r="X218" t="str">
        <f t="shared" si="67"/>
        <v>https://api.geomagnetism.ga.gov.au/agrf?latd=-28&amp;latm=29&amp;lats=25.94&amp;lond=140&amp;lonm=59&amp;lons=50.57&amp;year=2017&amp;month=03&amp;day=16&amp;elev=0.092&amp;Ein=D&amp;Ein=d</v>
      </c>
    </row>
    <row r="219" spans="1:24" ht="17" x14ac:dyDescent="0.25">
      <c r="A219" s="1" t="s">
        <v>302</v>
      </c>
      <c r="B219" s="1">
        <v>-28.495930000000001</v>
      </c>
      <c r="C219" s="1">
        <v>140.49970999999999</v>
      </c>
      <c r="D219" t="s">
        <v>908</v>
      </c>
      <c r="E219" t="s">
        <v>909</v>
      </c>
      <c r="F219" t="str">
        <f t="shared" si="53"/>
        <v>-28° 29' 45.35"</v>
      </c>
      <c r="G219" t="str">
        <f t="shared" si="54"/>
        <v>140° 29' 58.96"</v>
      </c>
      <c r="H219" s="5">
        <f t="shared" si="55"/>
        <v>28</v>
      </c>
      <c r="I219" s="5">
        <f t="shared" si="56"/>
        <v>-28</v>
      </c>
      <c r="J219" s="5">
        <f t="shared" si="57"/>
        <v>29</v>
      </c>
      <c r="K219" s="5">
        <f t="shared" si="58"/>
        <v>45.35</v>
      </c>
      <c r="L219" s="5">
        <f t="shared" si="59"/>
        <v>140</v>
      </c>
      <c r="M219" s="5">
        <f t="shared" si="60"/>
        <v>29</v>
      </c>
      <c r="N219" s="5">
        <f t="shared" si="61"/>
        <v>58.96</v>
      </c>
      <c r="O219" s="1">
        <v>45</v>
      </c>
      <c r="P219">
        <f t="shared" si="51"/>
        <v>4.4999999999999998E-2</v>
      </c>
      <c r="Q219" s="3" t="s">
        <v>389</v>
      </c>
      <c r="R219" t="str">
        <f t="shared" si="52"/>
        <v>16/03/2017</v>
      </c>
      <c r="S219">
        <f t="shared" si="62"/>
        <v>2017</v>
      </c>
      <c r="T219">
        <f t="shared" si="63"/>
        <v>3</v>
      </c>
      <c r="U219" t="str">
        <f t="shared" si="64"/>
        <v>03</v>
      </c>
      <c r="V219">
        <f t="shared" si="65"/>
        <v>16</v>
      </c>
      <c r="W219" t="str">
        <f t="shared" si="66"/>
        <v>16</v>
      </c>
      <c r="X219" t="str">
        <f t="shared" si="67"/>
        <v>https://api.geomagnetism.ga.gov.au/agrf?latd=-28&amp;latm=29&amp;lats=45.35&amp;lond=140&amp;lonm=29&amp;lons=58.96&amp;year=2017&amp;month=03&amp;day=16&amp;elev=0.045&amp;Ein=D&amp;Ein=d</v>
      </c>
    </row>
    <row r="220" spans="1:24" ht="17" x14ac:dyDescent="0.25">
      <c r="A220" s="1" t="s">
        <v>303</v>
      </c>
      <c r="B220" s="1">
        <v>-28.506</v>
      </c>
      <c r="C220" s="1">
        <v>139.99959999999999</v>
      </c>
      <c r="D220" t="s">
        <v>910</v>
      </c>
      <c r="E220" t="s">
        <v>911</v>
      </c>
      <c r="F220" t="str">
        <f t="shared" si="53"/>
        <v>-28° 30' 21.60"</v>
      </c>
      <c r="G220" t="str">
        <f t="shared" si="54"/>
        <v>139° 59' 58.56"</v>
      </c>
      <c r="H220" s="5">
        <f t="shared" si="55"/>
        <v>28</v>
      </c>
      <c r="I220" s="5">
        <f t="shared" si="56"/>
        <v>-28</v>
      </c>
      <c r="J220" s="5">
        <f t="shared" si="57"/>
        <v>30</v>
      </c>
      <c r="K220" s="5">
        <f t="shared" si="58"/>
        <v>21.6</v>
      </c>
      <c r="L220" s="5">
        <f t="shared" si="59"/>
        <v>139</v>
      </c>
      <c r="M220" s="5">
        <f t="shared" si="60"/>
        <v>59</v>
      </c>
      <c r="N220" s="5">
        <f t="shared" si="61"/>
        <v>58.56</v>
      </c>
      <c r="O220" s="1">
        <v>34</v>
      </c>
      <c r="P220">
        <f t="shared" si="51"/>
        <v>3.4000000000000002E-2</v>
      </c>
      <c r="Q220" s="3" t="s">
        <v>166</v>
      </c>
      <c r="R220" t="str">
        <f t="shared" si="52"/>
        <v>20/03/2017</v>
      </c>
      <c r="S220">
        <f t="shared" si="62"/>
        <v>2017</v>
      </c>
      <c r="T220">
        <f t="shared" si="63"/>
        <v>3</v>
      </c>
      <c r="U220" t="str">
        <f t="shared" si="64"/>
        <v>03</v>
      </c>
      <c r="V220">
        <f t="shared" si="65"/>
        <v>20</v>
      </c>
      <c r="W220" t="str">
        <f t="shared" si="66"/>
        <v>20</v>
      </c>
      <c r="X220" t="str">
        <f t="shared" si="67"/>
        <v>https://api.geomagnetism.ga.gov.au/agrf?latd=-28&amp;latm=30&amp;lats=21.6&amp;lond=139&amp;lonm=59&amp;lons=58.56&amp;year=2017&amp;month=03&amp;day=20&amp;elev=0.034&amp;Ein=D&amp;Ein=d</v>
      </c>
    </row>
    <row r="221" spans="1:24" ht="17" x14ac:dyDescent="0.25">
      <c r="A221" s="1" t="s">
        <v>304</v>
      </c>
      <c r="B221" s="1">
        <v>-28.493819999999999</v>
      </c>
      <c r="C221" s="1">
        <v>139.50192999999999</v>
      </c>
      <c r="D221" t="s">
        <v>912</v>
      </c>
      <c r="E221" t="s">
        <v>667</v>
      </c>
      <c r="F221" t="str">
        <f t="shared" si="53"/>
        <v>-28° 29' 37.75"</v>
      </c>
      <c r="G221" t="str">
        <f t="shared" si="54"/>
        <v>139° 30' 6.95"</v>
      </c>
      <c r="H221" s="5">
        <f t="shared" si="55"/>
        <v>28</v>
      </c>
      <c r="I221" s="5">
        <f t="shared" si="56"/>
        <v>-28</v>
      </c>
      <c r="J221" s="5">
        <f t="shared" si="57"/>
        <v>29</v>
      </c>
      <c r="K221" s="5">
        <f t="shared" si="58"/>
        <v>37.75</v>
      </c>
      <c r="L221" s="5">
        <f t="shared" si="59"/>
        <v>139</v>
      </c>
      <c r="M221" s="5">
        <f t="shared" si="60"/>
        <v>30</v>
      </c>
      <c r="N221" s="5">
        <f t="shared" si="61"/>
        <v>6.95</v>
      </c>
      <c r="O221" s="1">
        <v>24</v>
      </c>
      <c r="P221">
        <f t="shared" si="51"/>
        <v>2.4E-2</v>
      </c>
      <c r="Q221" s="3" t="s">
        <v>393</v>
      </c>
      <c r="R221" t="str">
        <f t="shared" si="52"/>
        <v>23/04/2017</v>
      </c>
      <c r="S221">
        <f t="shared" si="62"/>
        <v>2017</v>
      </c>
      <c r="T221">
        <f t="shared" si="63"/>
        <v>4</v>
      </c>
      <c r="U221" t="str">
        <f t="shared" si="64"/>
        <v>04</v>
      </c>
      <c r="V221">
        <f t="shared" si="65"/>
        <v>23</v>
      </c>
      <c r="W221" t="str">
        <f t="shared" si="66"/>
        <v>23</v>
      </c>
      <c r="X221" t="str">
        <f t="shared" si="67"/>
        <v>https://api.geomagnetism.ga.gov.au/agrf?latd=-28&amp;latm=29&amp;lats=37.75&amp;lond=139&amp;lonm=30&amp;lons=6.95&amp;year=2017&amp;month=04&amp;day=23&amp;elev=0.024&amp;Ein=D&amp;Ein=d</v>
      </c>
    </row>
    <row r="222" spans="1:24" ht="17" x14ac:dyDescent="0.25">
      <c r="A222" s="1" t="s">
        <v>305</v>
      </c>
      <c r="B222" s="1">
        <v>-28.500250000000001</v>
      </c>
      <c r="C222" s="1">
        <v>139.01174</v>
      </c>
      <c r="D222" t="s">
        <v>913</v>
      </c>
      <c r="E222" t="s">
        <v>914</v>
      </c>
      <c r="F222" t="str">
        <f t="shared" si="53"/>
        <v>-28° 30' 0.90"</v>
      </c>
      <c r="G222" t="str">
        <f t="shared" si="54"/>
        <v>139° 0' 42.26"</v>
      </c>
      <c r="H222" s="5">
        <f t="shared" si="55"/>
        <v>28</v>
      </c>
      <c r="I222" s="5">
        <f t="shared" si="56"/>
        <v>-28</v>
      </c>
      <c r="J222" s="5">
        <f t="shared" si="57"/>
        <v>30</v>
      </c>
      <c r="K222" s="5">
        <f t="shared" si="58"/>
        <v>0.9</v>
      </c>
      <c r="L222" s="5">
        <f t="shared" si="59"/>
        <v>139</v>
      </c>
      <c r="M222" s="5">
        <f t="shared" si="60"/>
        <v>0</v>
      </c>
      <c r="N222" s="5">
        <f t="shared" si="61"/>
        <v>42.26</v>
      </c>
      <c r="O222" s="1">
        <v>34</v>
      </c>
      <c r="P222">
        <f t="shared" si="51"/>
        <v>3.4000000000000002E-2</v>
      </c>
      <c r="Q222" s="3" t="s">
        <v>393</v>
      </c>
      <c r="R222" t="str">
        <f t="shared" si="52"/>
        <v>23/04/2017</v>
      </c>
      <c r="S222">
        <f t="shared" si="62"/>
        <v>2017</v>
      </c>
      <c r="T222">
        <f t="shared" si="63"/>
        <v>4</v>
      </c>
      <c r="U222" t="str">
        <f t="shared" si="64"/>
        <v>04</v>
      </c>
      <c r="V222">
        <f t="shared" si="65"/>
        <v>23</v>
      </c>
      <c r="W222" t="str">
        <f t="shared" si="66"/>
        <v>23</v>
      </c>
      <c r="X222" t="str">
        <f t="shared" si="67"/>
        <v>https://api.geomagnetism.ga.gov.au/agrf?latd=-28&amp;latm=30&amp;lats=0.9&amp;lond=139&amp;lonm=0&amp;lons=42.26&amp;year=2017&amp;month=04&amp;day=23&amp;elev=0.034&amp;Ein=D&amp;Ein=d</v>
      </c>
    </row>
    <row r="223" spans="1:24" ht="17" x14ac:dyDescent="0.25">
      <c r="A223" s="1" t="s">
        <v>306</v>
      </c>
      <c r="B223" s="1">
        <v>-28.49783</v>
      </c>
      <c r="C223" s="1">
        <v>138.50373999999999</v>
      </c>
      <c r="D223" t="s">
        <v>915</v>
      </c>
      <c r="E223" t="s">
        <v>916</v>
      </c>
      <c r="F223" t="str">
        <f t="shared" si="53"/>
        <v>-28° 29' 52.19"</v>
      </c>
      <c r="G223" t="str">
        <f t="shared" si="54"/>
        <v>138° 30' 13.46"</v>
      </c>
      <c r="H223" s="5">
        <f t="shared" si="55"/>
        <v>28</v>
      </c>
      <c r="I223" s="5">
        <f t="shared" si="56"/>
        <v>-28</v>
      </c>
      <c r="J223" s="5">
        <f t="shared" si="57"/>
        <v>29</v>
      </c>
      <c r="K223" s="5">
        <f t="shared" si="58"/>
        <v>52.19</v>
      </c>
      <c r="L223" s="5">
        <f t="shared" si="59"/>
        <v>138</v>
      </c>
      <c r="M223" s="5">
        <f t="shared" si="60"/>
        <v>30</v>
      </c>
      <c r="N223" s="5">
        <f t="shared" si="61"/>
        <v>13.46</v>
      </c>
      <c r="O223" s="1">
        <v>26</v>
      </c>
      <c r="P223">
        <f t="shared" si="51"/>
        <v>2.5999999999999999E-2</v>
      </c>
      <c r="Q223" s="3" t="s">
        <v>394</v>
      </c>
      <c r="R223" t="str">
        <f t="shared" si="52"/>
        <v>23/06/2017</v>
      </c>
      <c r="S223">
        <f t="shared" si="62"/>
        <v>2017</v>
      </c>
      <c r="T223">
        <f t="shared" si="63"/>
        <v>6</v>
      </c>
      <c r="U223" t="str">
        <f t="shared" si="64"/>
        <v>06</v>
      </c>
      <c r="V223">
        <f t="shared" si="65"/>
        <v>23</v>
      </c>
      <c r="W223" t="str">
        <f t="shared" si="66"/>
        <v>23</v>
      </c>
      <c r="X223" t="str">
        <f t="shared" si="67"/>
        <v>https://api.geomagnetism.ga.gov.au/agrf?latd=-28&amp;latm=29&amp;lats=52.19&amp;lond=138&amp;lonm=30&amp;lons=13.46&amp;year=2017&amp;month=06&amp;day=23&amp;elev=0.026&amp;Ein=D&amp;Ein=d</v>
      </c>
    </row>
    <row r="224" spans="1:24" ht="17" x14ac:dyDescent="0.25">
      <c r="A224" s="1" t="s">
        <v>307</v>
      </c>
      <c r="B224" s="1">
        <v>-28.51745</v>
      </c>
      <c r="C224" s="1">
        <v>138.00097</v>
      </c>
      <c r="D224" t="s">
        <v>917</v>
      </c>
      <c r="E224" t="s">
        <v>918</v>
      </c>
      <c r="F224" t="str">
        <f t="shared" si="53"/>
        <v>-28° 31' 2.82"</v>
      </c>
      <c r="G224" t="str">
        <f t="shared" si="54"/>
        <v>138° 0' 3.49"</v>
      </c>
      <c r="H224" s="5">
        <f t="shared" si="55"/>
        <v>28</v>
      </c>
      <c r="I224" s="5">
        <f t="shared" si="56"/>
        <v>-28</v>
      </c>
      <c r="J224" s="5">
        <f t="shared" si="57"/>
        <v>31</v>
      </c>
      <c r="K224" s="5">
        <f t="shared" si="58"/>
        <v>2.82</v>
      </c>
      <c r="L224" s="5">
        <f t="shared" si="59"/>
        <v>138</v>
      </c>
      <c r="M224" s="5">
        <f t="shared" si="60"/>
        <v>0</v>
      </c>
      <c r="N224" s="5">
        <f t="shared" si="61"/>
        <v>3.49</v>
      </c>
      <c r="O224" s="1">
        <v>7</v>
      </c>
      <c r="P224">
        <f t="shared" si="51"/>
        <v>7.0000000000000001E-3</v>
      </c>
      <c r="Q224" s="3" t="s">
        <v>395</v>
      </c>
      <c r="R224" t="str">
        <f t="shared" si="52"/>
        <v>17/05/2017</v>
      </c>
      <c r="S224">
        <f t="shared" si="62"/>
        <v>2017</v>
      </c>
      <c r="T224">
        <f t="shared" si="63"/>
        <v>5</v>
      </c>
      <c r="U224" t="str">
        <f t="shared" si="64"/>
        <v>05</v>
      </c>
      <c r="V224">
        <f t="shared" si="65"/>
        <v>17</v>
      </c>
      <c r="W224" t="str">
        <f t="shared" si="66"/>
        <v>17</v>
      </c>
      <c r="X224" t="str">
        <f t="shared" si="67"/>
        <v>https://api.geomagnetism.ga.gov.au/agrf?latd=-28&amp;latm=31&amp;lats=2.82&amp;lond=138&amp;lonm=0&amp;lons=3.49&amp;year=2017&amp;month=05&amp;day=17&amp;elev=0.007&amp;Ein=D&amp;Ein=d</v>
      </c>
    </row>
    <row r="225" spans="1:24" ht="17" x14ac:dyDescent="0.25">
      <c r="A225" s="1" t="s">
        <v>308</v>
      </c>
      <c r="B225" s="1">
        <v>-28.431483329999999</v>
      </c>
      <c r="C225" s="1">
        <v>136.96775</v>
      </c>
      <c r="D225" t="s">
        <v>919</v>
      </c>
      <c r="E225" t="s">
        <v>920</v>
      </c>
      <c r="F225" t="str">
        <f t="shared" si="53"/>
        <v>-28° 25' 53.34"</v>
      </c>
      <c r="G225" t="str">
        <f t="shared" si="54"/>
        <v>136° 58' 3.90"</v>
      </c>
      <c r="H225" s="5">
        <f t="shared" si="55"/>
        <v>28</v>
      </c>
      <c r="I225" s="5">
        <f t="shared" si="56"/>
        <v>-28</v>
      </c>
      <c r="J225" s="5">
        <f t="shared" si="57"/>
        <v>25</v>
      </c>
      <c r="K225" s="5">
        <f t="shared" si="58"/>
        <v>53.34</v>
      </c>
      <c r="L225" s="5">
        <f t="shared" si="59"/>
        <v>136</v>
      </c>
      <c r="M225" s="5">
        <f t="shared" si="60"/>
        <v>58</v>
      </c>
      <c r="N225" s="5">
        <f t="shared" si="61"/>
        <v>3.9</v>
      </c>
      <c r="O225" s="1">
        <v>3</v>
      </c>
      <c r="P225">
        <f t="shared" si="51"/>
        <v>3.0000000000000001E-3</v>
      </c>
      <c r="Q225" s="3" t="s">
        <v>396</v>
      </c>
      <c r="R225" t="str">
        <f t="shared" si="52"/>
        <v>15/11/2016</v>
      </c>
      <c r="S225">
        <f t="shared" si="62"/>
        <v>2016</v>
      </c>
      <c r="T225">
        <f t="shared" si="63"/>
        <v>11</v>
      </c>
      <c r="U225" t="str">
        <f t="shared" si="64"/>
        <v>11</v>
      </c>
      <c r="V225">
        <f t="shared" si="65"/>
        <v>15</v>
      </c>
      <c r="W225" t="str">
        <f t="shared" si="66"/>
        <v>15</v>
      </c>
      <c r="X225" t="str">
        <f t="shared" si="67"/>
        <v>https://api.geomagnetism.ga.gov.au/agrf?latd=-28&amp;latm=25&amp;lats=53.34&amp;lond=136&amp;lonm=58&amp;lons=3.9&amp;year=2016&amp;month=11&amp;day=15&amp;elev=0.003&amp;Ein=D&amp;Ein=d</v>
      </c>
    </row>
    <row r="226" spans="1:24" ht="17" x14ac:dyDescent="0.25">
      <c r="A226" s="1" t="s">
        <v>309</v>
      </c>
      <c r="B226" s="1">
        <v>-28.497566670000001</v>
      </c>
      <c r="C226" s="1">
        <v>136.5007167</v>
      </c>
      <c r="D226" t="s">
        <v>921</v>
      </c>
      <c r="E226" t="s">
        <v>922</v>
      </c>
      <c r="F226" t="str">
        <f t="shared" si="53"/>
        <v>-28° 29' 51.24"</v>
      </c>
      <c r="G226" t="str">
        <f t="shared" si="54"/>
        <v>136° 30' 2.58"</v>
      </c>
      <c r="H226" s="5">
        <f t="shared" si="55"/>
        <v>28</v>
      </c>
      <c r="I226" s="5">
        <f t="shared" si="56"/>
        <v>-28</v>
      </c>
      <c r="J226" s="5">
        <f t="shared" si="57"/>
        <v>29</v>
      </c>
      <c r="K226" s="5">
        <f t="shared" si="58"/>
        <v>51.24</v>
      </c>
      <c r="L226" s="5">
        <f t="shared" si="59"/>
        <v>136</v>
      </c>
      <c r="M226" s="5">
        <f t="shared" si="60"/>
        <v>30</v>
      </c>
      <c r="N226" s="5">
        <f t="shared" si="61"/>
        <v>2.58</v>
      </c>
      <c r="O226" s="1">
        <v>62</v>
      </c>
      <c r="P226">
        <f t="shared" si="51"/>
        <v>6.2E-2</v>
      </c>
      <c r="Q226" s="3" t="s">
        <v>397</v>
      </c>
      <c r="R226" t="str">
        <f t="shared" si="52"/>
        <v>21/11/2016</v>
      </c>
      <c r="S226">
        <f t="shared" si="62"/>
        <v>2016</v>
      </c>
      <c r="T226">
        <f t="shared" si="63"/>
        <v>11</v>
      </c>
      <c r="U226" t="str">
        <f t="shared" si="64"/>
        <v>11</v>
      </c>
      <c r="V226">
        <f t="shared" si="65"/>
        <v>21</v>
      </c>
      <c r="W226" t="str">
        <f t="shared" si="66"/>
        <v>21</v>
      </c>
      <c r="X226" t="str">
        <f t="shared" si="67"/>
        <v>https://api.geomagnetism.ga.gov.au/agrf?latd=-28&amp;latm=29&amp;lats=51.24&amp;lond=136&amp;lonm=30&amp;lons=2.58&amp;year=2016&amp;month=11&amp;day=21&amp;elev=0.062&amp;Ein=D&amp;Ein=d</v>
      </c>
    </row>
    <row r="227" spans="1:24" ht="17" x14ac:dyDescent="0.25">
      <c r="A227" s="1" t="s">
        <v>310</v>
      </c>
      <c r="B227" s="1">
        <v>-28.46585</v>
      </c>
      <c r="C227" s="1">
        <v>135.9727833</v>
      </c>
      <c r="D227" t="s">
        <v>923</v>
      </c>
      <c r="E227" t="s">
        <v>924</v>
      </c>
      <c r="F227" t="str">
        <f t="shared" si="53"/>
        <v>-28° 27' 57.06"</v>
      </c>
      <c r="G227" t="str">
        <f t="shared" si="54"/>
        <v>135° 58' 22.02"</v>
      </c>
      <c r="H227" s="5">
        <f t="shared" si="55"/>
        <v>28</v>
      </c>
      <c r="I227" s="5">
        <f t="shared" si="56"/>
        <v>-28</v>
      </c>
      <c r="J227" s="5">
        <f t="shared" si="57"/>
        <v>27</v>
      </c>
      <c r="K227" s="5">
        <f t="shared" si="58"/>
        <v>57.06</v>
      </c>
      <c r="L227" s="5">
        <f t="shared" si="59"/>
        <v>135</v>
      </c>
      <c r="M227" s="5">
        <f t="shared" si="60"/>
        <v>58</v>
      </c>
      <c r="N227" s="5">
        <f t="shared" si="61"/>
        <v>22.02</v>
      </c>
      <c r="O227" s="1">
        <v>231</v>
      </c>
      <c r="P227">
        <f t="shared" si="51"/>
        <v>0.23100000000000001</v>
      </c>
      <c r="Q227" s="3" t="s">
        <v>398</v>
      </c>
      <c r="R227" t="str">
        <f t="shared" si="52"/>
        <v>14/11/2016</v>
      </c>
      <c r="S227">
        <f t="shared" si="62"/>
        <v>2016</v>
      </c>
      <c r="T227">
        <f t="shared" si="63"/>
        <v>11</v>
      </c>
      <c r="U227" t="str">
        <f t="shared" si="64"/>
        <v>11</v>
      </c>
      <c r="V227">
        <f t="shared" si="65"/>
        <v>14</v>
      </c>
      <c r="W227" t="str">
        <f t="shared" si="66"/>
        <v>14</v>
      </c>
      <c r="X227" t="str">
        <f t="shared" si="67"/>
        <v>https://api.geomagnetism.ga.gov.au/agrf?latd=-28&amp;latm=27&amp;lats=57.06&amp;lond=135&amp;lonm=58&amp;lons=22.02&amp;year=2016&amp;month=11&amp;day=14&amp;elev=0.231&amp;Ein=D&amp;Ein=d</v>
      </c>
    </row>
    <row r="228" spans="1:24" ht="17" x14ac:dyDescent="0.25">
      <c r="A228" s="1" t="s">
        <v>311</v>
      </c>
      <c r="B228" s="1">
        <v>-28.500133330000001</v>
      </c>
      <c r="C228" s="1">
        <v>135.49586669999999</v>
      </c>
      <c r="D228" t="s">
        <v>925</v>
      </c>
      <c r="E228" t="s">
        <v>926</v>
      </c>
      <c r="F228" t="str">
        <f t="shared" si="53"/>
        <v>-28° 30' 0.48"</v>
      </c>
      <c r="G228" t="str">
        <f t="shared" si="54"/>
        <v>135° 29' 45.12"</v>
      </c>
      <c r="H228" s="5">
        <f t="shared" si="55"/>
        <v>28</v>
      </c>
      <c r="I228" s="5">
        <f t="shared" si="56"/>
        <v>-28</v>
      </c>
      <c r="J228" s="5">
        <f t="shared" si="57"/>
        <v>30</v>
      </c>
      <c r="K228" s="5">
        <f t="shared" si="58"/>
        <v>0.48</v>
      </c>
      <c r="L228" s="5">
        <f t="shared" si="59"/>
        <v>135</v>
      </c>
      <c r="M228" s="5">
        <f t="shared" si="60"/>
        <v>29</v>
      </c>
      <c r="N228" s="5">
        <f t="shared" si="61"/>
        <v>45.12</v>
      </c>
      <c r="O228" s="1">
        <v>97</v>
      </c>
      <c r="P228">
        <f t="shared" si="51"/>
        <v>9.7000000000000003E-2</v>
      </c>
      <c r="Q228" s="3" t="s">
        <v>399</v>
      </c>
      <c r="R228" t="str">
        <f t="shared" si="52"/>
        <v>22/11/2016</v>
      </c>
      <c r="S228">
        <f t="shared" si="62"/>
        <v>2016</v>
      </c>
      <c r="T228">
        <f t="shared" si="63"/>
        <v>11</v>
      </c>
      <c r="U228" t="str">
        <f t="shared" si="64"/>
        <v>11</v>
      </c>
      <c r="V228">
        <f t="shared" si="65"/>
        <v>22</v>
      </c>
      <c r="W228" t="str">
        <f t="shared" si="66"/>
        <v>22</v>
      </c>
      <c r="X228" t="str">
        <f t="shared" si="67"/>
        <v>https://api.geomagnetism.ga.gov.au/agrf?latd=-28&amp;latm=30&amp;lats=0.48&amp;lond=135&amp;lonm=29&amp;lons=45.12&amp;year=2016&amp;month=11&amp;day=22&amp;elev=0.097&amp;Ein=D&amp;Ein=d</v>
      </c>
    </row>
    <row r="229" spans="1:24" ht="17" x14ac:dyDescent="0.25">
      <c r="A229" s="1" t="s">
        <v>312</v>
      </c>
      <c r="B229" s="1">
        <v>-28.50122</v>
      </c>
      <c r="C229" s="1">
        <v>134.47623999999999</v>
      </c>
      <c r="D229" t="s">
        <v>927</v>
      </c>
      <c r="E229" t="s">
        <v>928</v>
      </c>
      <c r="F229" t="str">
        <f t="shared" si="53"/>
        <v>-28° 30' 4.39"</v>
      </c>
      <c r="G229" t="str">
        <f t="shared" si="54"/>
        <v>134° 28' 34.46"</v>
      </c>
      <c r="H229" s="5">
        <f t="shared" si="55"/>
        <v>28</v>
      </c>
      <c r="I229" s="5">
        <f t="shared" si="56"/>
        <v>-28</v>
      </c>
      <c r="J229" s="5">
        <f t="shared" si="57"/>
        <v>30</v>
      </c>
      <c r="K229" s="5">
        <f t="shared" si="58"/>
        <v>4.3899999999999997</v>
      </c>
      <c r="L229" s="5">
        <f t="shared" si="59"/>
        <v>134</v>
      </c>
      <c r="M229" s="5">
        <f t="shared" si="60"/>
        <v>28</v>
      </c>
      <c r="N229" s="5">
        <f t="shared" si="61"/>
        <v>34.46</v>
      </c>
      <c r="O229" s="1">
        <v>219</v>
      </c>
      <c r="P229">
        <f t="shared" si="51"/>
        <v>0.219</v>
      </c>
      <c r="Q229" s="3" t="s">
        <v>398</v>
      </c>
      <c r="R229" t="str">
        <f t="shared" si="52"/>
        <v>14/11/2016</v>
      </c>
      <c r="S229">
        <f t="shared" si="62"/>
        <v>2016</v>
      </c>
      <c r="T229">
        <f t="shared" si="63"/>
        <v>11</v>
      </c>
      <c r="U229" t="str">
        <f t="shared" si="64"/>
        <v>11</v>
      </c>
      <c r="V229">
        <f t="shared" si="65"/>
        <v>14</v>
      </c>
      <c r="W229" t="str">
        <f t="shared" si="66"/>
        <v>14</v>
      </c>
      <c r="X229" t="str">
        <f t="shared" si="67"/>
        <v>https://api.geomagnetism.ga.gov.au/agrf?latd=-28&amp;latm=30&amp;lats=4.39&amp;lond=134&amp;lonm=28&amp;lons=34.46&amp;year=2016&amp;month=11&amp;day=14&amp;elev=0.219&amp;Ein=D&amp;Ein=d</v>
      </c>
    </row>
    <row r="230" spans="1:24" ht="17" x14ac:dyDescent="0.25">
      <c r="A230" s="1" t="s">
        <v>313</v>
      </c>
      <c r="B230" s="1">
        <v>-27.998080000000002</v>
      </c>
      <c r="C230" s="1">
        <v>140.99596</v>
      </c>
      <c r="D230" t="s">
        <v>929</v>
      </c>
      <c r="E230" t="s">
        <v>930</v>
      </c>
      <c r="F230" t="str">
        <f t="shared" si="53"/>
        <v>-27° 59' 53.09"</v>
      </c>
      <c r="G230" t="str">
        <f t="shared" si="54"/>
        <v>140° 59' 45.46"</v>
      </c>
      <c r="H230" s="5">
        <f t="shared" si="55"/>
        <v>27</v>
      </c>
      <c r="I230" s="5">
        <f t="shared" si="56"/>
        <v>-27</v>
      </c>
      <c r="J230" s="5">
        <f t="shared" si="57"/>
        <v>59</v>
      </c>
      <c r="K230" s="5">
        <f t="shared" si="58"/>
        <v>53.09</v>
      </c>
      <c r="L230" s="5">
        <f t="shared" si="59"/>
        <v>140</v>
      </c>
      <c r="M230" s="5">
        <f t="shared" si="60"/>
        <v>59</v>
      </c>
      <c r="N230" s="5">
        <f t="shared" si="61"/>
        <v>45.46</v>
      </c>
      <c r="O230" s="1">
        <v>88</v>
      </c>
      <c r="P230">
        <f t="shared" si="51"/>
        <v>8.7999999999999995E-2</v>
      </c>
      <c r="Q230" s="3" t="s">
        <v>400</v>
      </c>
      <c r="R230" t="str">
        <f t="shared" si="52"/>
        <v>19/03/2017</v>
      </c>
      <c r="S230">
        <f t="shared" si="62"/>
        <v>2017</v>
      </c>
      <c r="T230">
        <f t="shared" si="63"/>
        <v>3</v>
      </c>
      <c r="U230" t="str">
        <f t="shared" si="64"/>
        <v>03</v>
      </c>
      <c r="V230">
        <f t="shared" si="65"/>
        <v>19</v>
      </c>
      <c r="W230" t="str">
        <f t="shared" si="66"/>
        <v>19</v>
      </c>
      <c r="X230" t="str">
        <f t="shared" si="67"/>
        <v>https://api.geomagnetism.ga.gov.au/agrf?latd=-27&amp;latm=59&amp;lats=53.09&amp;lond=140&amp;lonm=59&amp;lons=45.46&amp;year=2017&amp;month=03&amp;day=19&amp;elev=0.088&amp;Ein=D&amp;Ein=d</v>
      </c>
    </row>
    <row r="231" spans="1:24" ht="17" x14ac:dyDescent="0.25">
      <c r="A231" s="1" t="s">
        <v>314</v>
      </c>
      <c r="B231" s="1">
        <v>-28.00056</v>
      </c>
      <c r="C231" s="1">
        <v>140.57830999999999</v>
      </c>
      <c r="D231" t="s">
        <v>931</v>
      </c>
      <c r="E231" t="s">
        <v>932</v>
      </c>
      <c r="F231" t="str">
        <f t="shared" si="53"/>
        <v>-28° 0' 2.02"</v>
      </c>
      <c r="G231" t="str">
        <f t="shared" si="54"/>
        <v>140° 34' 41.92"</v>
      </c>
      <c r="H231" s="5">
        <f t="shared" si="55"/>
        <v>28</v>
      </c>
      <c r="I231" s="5">
        <f t="shared" si="56"/>
        <v>-28</v>
      </c>
      <c r="J231" s="5">
        <f t="shared" si="57"/>
        <v>0</v>
      </c>
      <c r="K231" s="5">
        <f t="shared" si="58"/>
        <v>2.02</v>
      </c>
      <c r="L231" s="5">
        <f t="shared" si="59"/>
        <v>140</v>
      </c>
      <c r="M231" s="5">
        <f t="shared" si="60"/>
        <v>34</v>
      </c>
      <c r="N231" s="5">
        <f t="shared" si="61"/>
        <v>41.92</v>
      </c>
      <c r="O231" s="1">
        <v>42</v>
      </c>
      <c r="P231">
        <f t="shared" si="51"/>
        <v>4.2000000000000003E-2</v>
      </c>
      <c r="Q231" s="3" t="s">
        <v>401</v>
      </c>
      <c r="R231" t="str">
        <f t="shared" si="52"/>
        <v>17/03/2017</v>
      </c>
      <c r="S231">
        <f t="shared" si="62"/>
        <v>2017</v>
      </c>
      <c r="T231">
        <f t="shared" si="63"/>
        <v>3</v>
      </c>
      <c r="U231" t="str">
        <f t="shared" si="64"/>
        <v>03</v>
      </c>
      <c r="V231">
        <f t="shared" si="65"/>
        <v>17</v>
      </c>
      <c r="W231" t="str">
        <f t="shared" si="66"/>
        <v>17</v>
      </c>
      <c r="X231" t="str">
        <f t="shared" si="67"/>
        <v>https://api.geomagnetism.ga.gov.au/agrf?latd=-28&amp;latm=0&amp;lats=2.02&amp;lond=140&amp;lonm=34&amp;lons=41.92&amp;year=2017&amp;month=03&amp;day=17&amp;elev=0.042&amp;Ein=D&amp;Ein=d</v>
      </c>
    </row>
    <row r="232" spans="1:24" ht="17" x14ac:dyDescent="0.25">
      <c r="A232" s="1" t="s">
        <v>315</v>
      </c>
      <c r="B232" s="1">
        <v>-28.00056</v>
      </c>
      <c r="C232" s="1">
        <v>140.57830999999999</v>
      </c>
      <c r="D232" t="s">
        <v>931</v>
      </c>
      <c r="E232" t="s">
        <v>932</v>
      </c>
      <c r="F232" t="str">
        <f t="shared" si="53"/>
        <v>-28° 0' 2.02"</v>
      </c>
      <c r="G232" t="str">
        <f t="shared" si="54"/>
        <v>140° 34' 41.92"</v>
      </c>
      <c r="H232" s="5">
        <f t="shared" si="55"/>
        <v>28</v>
      </c>
      <c r="I232" s="5">
        <f t="shared" si="56"/>
        <v>-28</v>
      </c>
      <c r="J232" s="5">
        <f t="shared" si="57"/>
        <v>0</v>
      </c>
      <c r="K232" s="5">
        <f t="shared" si="58"/>
        <v>2.02</v>
      </c>
      <c r="L232" s="5">
        <f t="shared" si="59"/>
        <v>140</v>
      </c>
      <c r="M232" s="5">
        <f t="shared" si="60"/>
        <v>34</v>
      </c>
      <c r="N232" s="5">
        <f t="shared" si="61"/>
        <v>41.92</v>
      </c>
      <c r="O232" s="1">
        <v>42</v>
      </c>
      <c r="P232">
        <f t="shared" si="51"/>
        <v>4.2000000000000003E-2</v>
      </c>
      <c r="Q232" s="3" t="s">
        <v>390</v>
      </c>
      <c r="R232" t="str">
        <f t="shared" si="52"/>
        <v>21/06/2017</v>
      </c>
      <c r="S232">
        <f t="shared" si="62"/>
        <v>2017</v>
      </c>
      <c r="T232">
        <f t="shared" si="63"/>
        <v>6</v>
      </c>
      <c r="U232" t="str">
        <f t="shared" si="64"/>
        <v>06</v>
      </c>
      <c r="V232">
        <f t="shared" si="65"/>
        <v>21</v>
      </c>
      <c r="W232" t="str">
        <f t="shared" si="66"/>
        <v>21</v>
      </c>
      <c r="X232" t="str">
        <f t="shared" si="67"/>
        <v>https://api.geomagnetism.ga.gov.au/agrf?latd=-28&amp;latm=0&amp;lats=2.02&amp;lond=140&amp;lonm=34&amp;lons=41.92&amp;year=2017&amp;month=06&amp;day=21&amp;elev=0.042&amp;Ein=D&amp;Ein=d</v>
      </c>
    </row>
    <row r="233" spans="1:24" ht="17" x14ac:dyDescent="0.25">
      <c r="A233" s="1" t="s">
        <v>316</v>
      </c>
      <c r="B233" s="1">
        <v>-28.001560000000001</v>
      </c>
      <c r="C233" s="1">
        <v>140.57930999999999</v>
      </c>
      <c r="D233" t="s">
        <v>933</v>
      </c>
      <c r="E233" t="s">
        <v>934</v>
      </c>
      <c r="F233" t="str">
        <f t="shared" si="53"/>
        <v>-28° 0' 5.62"</v>
      </c>
      <c r="G233" t="str">
        <f t="shared" si="54"/>
        <v>140° 34' 45.52"</v>
      </c>
      <c r="H233" s="5">
        <f t="shared" si="55"/>
        <v>28</v>
      </c>
      <c r="I233" s="5">
        <f t="shared" si="56"/>
        <v>-28</v>
      </c>
      <c r="J233" s="5">
        <f t="shared" si="57"/>
        <v>0</v>
      </c>
      <c r="K233" s="5">
        <f t="shared" si="58"/>
        <v>5.62</v>
      </c>
      <c r="L233" s="5">
        <f t="shared" si="59"/>
        <v>140</v>
      </c>
      <c r="M233" s="5">
        <f t="shared" si="60"/>
        <v>34</v>
      </c>
      <c r="N233" s="5">
        <f t="shared" si="61"/>
        <v>45.52</v>
      </c>
      <c r="O233" s="1">
        <v>42</v>
      </c>
      <c r="P233">
        <f t="shared" si="51"/>
        <v>4.2000000000000003E-2</v>
      </c>
      <c r="Q233" s="3" t="s">
        <v>390</v>
      </c>
      <c r="R233" t="str">
        <f t="shared" si="52"/>
        <v>21/06/2017</v>
      </c>
      <c r="S233">
        <f t="shared" si="62"/>
        <v>2017</v>
      </c>
      <c r="T233">
        <f t="shared" si="63"/>
        <v>6</v>
      </c>
      <c r="U233" t="str">
        <f t="shared" si="64"/>
        <v>06</v>
      </c>
      <c r="V233">
        <f t="shared" si="65"/>
        <v>21</v>
      </c>
      <c r="W233" t="str">
        <f t="shared" si="66"/>
        <v>21</v>
      </c>
      <c r="X233" t="str">
        <f t="shared" si="67"/>
        <v>https://api.geomagnetism.ga.gov.au/agrf?latd=-28&amp;latm=0&amp;lats=5.62&amp;lond=140&amp;lonm=34&amp;lons=45.52&amp;year=2017&amp;month=06&amp;day=21&amp;elev=0.042&amp;Ein=D&amp;Ein=d</v>
      </c>
    </row>
    <row r="234" spans="1:24" ht="17" x14ac:dyDescent="0.25">
      <c r="A234" s="1" t="s">
        <v>317</v>
      </c>
      <c r="B234" s="1">
        <v>-28.001069999999999</v>
      </c>
      <c r="C234" s="1">
        <v>139.49232000000001</v>
      </c>
      <c r="D234" t="s">
        <v>935</v>
      </c>
      <c r="E234" t="s">
        <v>936</v>
      </c>
      <c r="F234" t="str">
        <f t="shared" si="53"/>
        <v>-28° 0' 3.85"</v>
      </c>
      <c r="G234" t="str">
        <f t="shared" si="54"/>
        <v>139° 29' 32.35"</v>
      </c>
      <c r="H234" s="5">
        <f t="shared" si="55"/>
        <v>28</v>
      </c>
      <c r="I234" s="5">
        <f t="shared" si="56"/>
        <v>-28</v>
      </c>
      <c r="J234" s="5">
        <f t="shared" si="57"/>
        <v>0</v>
      </c>
      <c r="K234" s="5">
        <f t="shared" si="58"/>
        <v>3.85</v>
      </c>
      <c r="L234" s="5">
        <f t="shared" si="59"/>
        <v>139</v>
      </c>
      <c r="M234" s="5">
        <f t="shared" si="60"/>
        <v>29</v>
      </c>
      <c r="N234" s="5">
        <f t="shared" si="61"/>
        <v>32.35</v>
      </c>
      <c r="O234" s="1">
        <v>18</v>
      </c>
      <c r="P234">
        <f t="shared" si="51"/>
        <v>1.7999999999999999E-2</v>
      </c>
      <c r="Q234" s="3" t="s">
        <v>393</v>
      </c>
      <c r="R234" t="str">
        <f t="shared" si="52"/>
        <v>23/04/2017</v>
      </c>
      <c r="S234">
        <f t="shared" si="62"/>
        <v>2017</v>
      </c>
      <c r="T234">
        <f t="shared" si="63"/>
        <v>4</v>
      </c>
      <c r="U234" t="str">
        <f t="shared" si="64"/>
        <v>04</v>
      </c>
      <c r="V234">
        <f t="shared" si="65"/>
        <v>23</v>
      </c>
      <c r="W234" t="str">
        <f t="shared" si="66"/>
        <v>23</v>
      </c>
      <c r="X234" t="str">
        <f t="shared" si="67"/>
        <v>https://api.geomagnetism.ga.gov.au/agrf?latd=-28&amp;latm=0&amp;lats=3.85&amp;lond=139&amp;lonm=29&amp;lons=32.35&amp;year=2017&amp;month=04&amp;day=23&amp;elev=0.018&amp;Ein=D&amp;Ein=d</v>
      </c>
    </row>
    <row r="235" spans="1:24" ht="17" x14ac:dyDescent="0.25">
      <c r="A235" s="1" t="s">
        <v>318</v>
      </c>
      <c r="B235" s="1">
        <v>-27.995159999999998</v>
      </c>
      <c r="C235" s="1">
        <v>139.01442</v>
      </c>
      <c r="D235" t="s">
        <v>937</v>
      </c>
      <c r="E235" t="s">
        <v>938</v>
      </c>
      <c r="F235" t="str">
        <f t="shared" si="53"/>
        <v>-27° 59' 42.58"</v>
      </c>
      <c r="G235" t="str">
        <f t="shared" si="54"/>
        <v>139° 0' 51.91"</v>
      </c>
      <c r="H235" s="5">
        <f t="shared" si="55"/>
        <v>27</v>
      </c>
      <c r="I235" s="5">
        <f t="shared" si="56"/>
        <v>-27</v>
      </c>
      <c r="J235" s="5">
        <f t="shared" si="57"/>
        <v>59</v>
      </c>
      <c r="K235" s="5">
        <f t="shared" si="58"/>
        <v>42.58</v>
      </c>
      <c r="L235" s="5">
        <f t="shared" si="59"/>
        <v>139</v>
      </c>
      <c r="M235" s="5">
        <f t="shared" si="60"/>
        <v>0</v>
      </c>
      <c r="N235" s="5">
        <f t="shared" si="61"/>
        <v>51.91</v>
      </c>
      <c r="O235" s="1">
        <v>48</v>
      </c>
      <c r="P235">
        <f t="shared" si="51"/>
        <v>4.8000000000000001E-2</v>
      </c>
      <c r="Q235" s="3" t="s">
        <v>393</v>
      </c>
      <c r="R235" t="str">
        <f t="shared" si="52"/>
        <v>23/04/2017</v>
      </c>
      <c r="S235">
        <f t="shared" si="62"/>
        <v>2017</v>
      </c>
      <c r="T235">
        <f t="shared" si="63"/>
        <v>4</v>
      </c>
      <c r="U235" t="str">
        <f t="shared" si="64"/>
        <v>04</v>
      </c>
      <c r="V235">
        <f t="shared" si="65"/>
        <v>23</v>
      </c>
      <c r="W235" t="str">
        <f t="shared" si="66"/>
        <v>23</v>
      </c>
      <c r="X235" t="str">
        <f t="shared" si="67"/>
        <v>https://api.geomagnetism.ga.gov.au/agrf?latd=-27&amp;latm=59&amp;lats=42.58&amp;lond=139&amp;lonm=0&amp;lons=51.91&amp;year=2017&amp;month=04&amp;day=23&amp;elev=0.048&amp;Ein=D&amp;Ein=d</v>
      </c>
    </row>
    <row r="236" spans="1:24" ht="17" x14ac:dyDescent="0.25">
      <c r="A236" s="1" t="s">
        <v>319</v>
      </c>
      <c r="B236" s="1">
        <v>-27.995200000000001</v>
      </c>
      <c r="C236" s="1">
        <v>138.00585000000001</v>
      </c>
      <c r="D236" t="s">
        <v>939</v>
      </c>
      <c r="E236" t="s">
        <v>940</v>
      </c>
      <c r="F236" t="str">
        <f t="shared" si="53"/>
        <v>-27° 59' 42.72"</v>
      </c>
      <c r="G236" t="str">
        <f t="shared" si="54"/>
        <v>138° 0' 21.06"</v>
      </c>
      <c r="H236" s="5">
        <f t="shared" si="55"/>
        <v>27</v>
      </c>
      <c r="I236" s="5">
        <f t="shared" si="56"/>
        <v>-27</v>
      </c>
      <c r="J236" s="5">
        <f t="shared" si="57"/>
        <v>59</v>
      </c>
      <c r="K236" s="5">
        <f t="shared" si="58"/>
        <v>42.72</v>
      </c>
      <c r="L236" s="5">
        <f t="shared" si="59"/>
        <v>138</v>
      </c>
      <c r="M236" s="5">
        <f t="shared" si="60"/>
        <v>0</v>
      </c>
      <c r="N236" s="5">
        <f t="shared" si="61"/>
        <v>21.06</v>
      </c>
      <c r="O236" s="1">
        <v>8</v>
      </c>
      <c r="P236">
        <f t="shared" si="51"/>
        <v>8.0000000000000002E-3</v>
      </c>
      <c r="Q236" s="3" t="s">
        <v>393</v>
      </c>
      <c r="R236" t="str">
        <f t="shared" si="52"/>
        <v>23/04/2017</v>
      </c>
      <c r="S236">
        <f t="shared" si="62"/>
        <v>2017</v>
      </c>
      <c r="T236">
        <f t="shared" si="63"/>
        <v>4</v>
      </c>
      <c r="U236" t="str">
        <f t="shared" si="64"/>
        <v>04</v>
      </c>
      <c r="V236">
        <f t="shared" si="65"/>
        <v>23</v>
      </c>
      <c r="W236" t="str">
        <f t="shared" si="66"/>
        <v>23</v>
      </c>
      <c r="X236" t="str">
        <f t="shared" si="67"/>
        <v>https://api.geomagnetism.ga.gov.au/agrf?latd=-27&amp;latm=59&amp;lats=42.72&amp;lond=138&amp;lonm=0&amp;lons=21.06&amp;year=2017&amp;month=04&amp;day=23&amp;elev=0.008&amp;Ein=D&amp;Ein=d</v>
      </c>
    </row>
    <row r="237" spans="1:24" ht="17" x14ac:dyDescent="0.25">
      <c r="A237" s="1" t="s">
        <v>320</v>
      </c>
      <c r="B237" s="1">
        <v>-28.004799999999999</v>
      </c>
      <c r="C237" s="1">
        <v>137.54272</v>
      </c>
      <c r="D237" t="s">
        <v>941</v>
      </c>
      <c r="E237" t="s">
        <v>942</v>
      </c>
      <c r="F237" t="str">
        <f t="shared" si="53"/>
        <v>-28° 0' 17.28"</v>
      </c>
      <c r="G237" t="str">
        <f t="shared" si="54"/>
        <v>137° 32' 33.79"</v>
      </c>
      <c r="H237" s="5">
        <f t="shared" si="55"/>
        <v>28</v>
      </c>
      <c r="I237" s="5">
        <f t="shared" si="56"/>
        <v>-28</v>
      </c>
      <c r="J237" s="5">
        <f t="shared" si="57"/>
        <v>0</v>
      </c>
      <c r="K237" s="5">
        <f t="shared" si="58"/>
        <v>17.28</v>
      </c>
      <c r="L237" s="5">
        <f t="shared" si="59"/>
        <v>137</v>
      </c>
      <c r="M237" s="5">
        <f t="shared" si="60"/>
        <v>32</v>
      </c>
      <c r="N237" s="5">
        <f t="shared" si="61"/>
        <v>33.79</v>
      </c>
      <c r="O237" s="1">
        <v>3</v>
      </c>
      <c r="P237">
        <f t="shared" si="51"/>
        <v>3.0000000000000001E-3</v>
      </c>
      <c r="Q237" s="3" t="s">
        <v>393</v>
      </c>
      <c r="R237" t="str">
        <f t="shared" si="52"/>
        <v>23/04/2017</v>
      </c>
      <c r="S237">
        <f t="shared" si="62"/>
        <v>2017</v>
      </c>
      <c r="T237">
        <f t="shared" si="63"/>
        <v>4</v>
      </c>
      <c r="U237" t="str">
        <f t="shared" si="64"/>
        <v>04</v>
      </c>
      <c r="V237">
        <f t="shared" si="65"/>
        <v>23</v>
      </c>
      <c r="W237" t="str">
        <f t="shared" si="66"/>
        <v>23</v>
      </c>
      <c r="X237" t="str">
        <f t="shared" si="67"/>
        <v>https://api.geomagnetism.ga.gov.au/agrf?latd=-28&amp;latm=0&amp;lats=17.28&amp;lond=137&amp;lonm=32&amp;lons=33.79&amp;year=2017&amp;month=04&amp;day=23&amp;elev=0.003&amp;Ein=D&amp;Ein=d</v>
      </c>
    </row>
    <row r="238" spans="1:24" ht="17" x14ac:dyDescent="0.25">
      <c r="A238" s="1" t="s">
        <v>321</v>
      </c>
      <c r="B238" s="1">
        <v>-28.025310000000001</v>
      </c>
      <c r="C238" s="1">
        <v>136.49139</v>
      </c>
      <c r="D238" t="s">
        <v>943</v>
      </c>
      <c r="E238" t="s">
        <v>944</v>
      </c>
      <c r="F238" t="str">
        <f t="shared" si="53"/>
        <v>-28° 1' 31.12"</v>
      </c>
      <c r="G238" t="str">
        <f t="shared" si="54"/>
        <v>136° 29' 29.00"</v>
      </c>
      <c r="H238" s="5">
        <f t="shared" si="55"/>
        <v>28</v>
      </c>
      <c r="I238" s="5">
        <f t="shared" si="56"/>
        <v>-28</v>
      </c>
      <c r="J238" s="5">
        <f t="shared" si="57"/>
        <v>1</v>
      </c>
      <c r="K238" s="5">
        <f t="shared" si="58"/>
        <v>31.12</v>
      </c>
      <c r="L238" s="5">
        <f t="shared" si="59"/>
        <v>136</v>
      </c>
      <c r="M238" s="5">
        <f t="shared" si="60"/>
        <v>29</v>
      </c>
      <c r="N238" s="5">
        <f t="shared" si="61"/>
        <v>29</v>
      </c>
      <c r="O238" s="1">
        <v>49</v>
      </c>
      <c r="P238">
        <f t="shared" si="51"/>
        <v>4.9000000000000002E-2</v>
      </c>
      <c r="Q238" s="3" t="s">
        <v>398</v>
      </c>
      <c r="R238" t="str">
        <f t="shared" si="52"/>
        <v>14/11/2016</v>
      </c>
      <c r="S238">
        <f t="shared" si="62"/>
        <v>2016</v>
      </c>
      <c r="T238">
        <f t="shared" si="63"/>
        <v>11</v>
      </c>
      <c r="U238" t="str">
        <f t="shared" si="64"/>
        <v>11</v>
      </c>
      <c r="V238">
        <f t="shared" si="65"/>
        <v>14</v>
      </c>
      <c r="W238" t="str">
        <f t="shared" si="66"/>
        <v>14</v>
      </c>
      <c r="X238" t="str">
        <f t="shared" si="67"/>
        <v>https://api.geomagnetism.ga.gov.au/agrf?latd=-28&amp;latm=1&amp;lats=31.12&amp;lond=136&amp;lonm=29&amp;lons=29&amp;year=2016&amp;month=11&amp;day=14&amp;elev=0.049&amp;Ein=D&amp;Ein=d</v>
      </c>
    </row>
    <row r="239" spans="1:24" ht="17" x14ac:dyDescent="0.25">
      <c r="A239" s="1" t="s">
        <v>322</v>
      </c>
      <c r="B239" s="1">
        <v>-27.991389999999999</v>
      </c>
      <c r="C239" s="1">
        <v>136.01432</v>
      </c>
      <c r="D239" t="s">
        <v>945</v>
      </c>
      <c r="E239" t="s">
        <v>946</v>
      </c>
      <c r="F239" t="str">
        <f t="shared" si="53"/>
        <v>-27° 59' 29.00"</v>
      </c>
      <c r="G239" t="str">
        <f t="shared" si="54"/>
        <v>136° 0' 51.55"</v>
      </c>
      <c r="H239" s="5">
        <f t="shared" si="55"/>
        <v>27</v>
      </c>
      <c r="I239" s="5">
        <f t="shared" si="56"/>
        <v>-27</v>
      </c>
      <c r="J239" s="5">
        <f t="shared" si="57"/>
        <v>59</v>
      </c>
      <c r="K239" s="5">
        <f t="shared" si="58"/>
        <v>29</v>
      </c>
      <c r="L239" s="5">
        <f t="shared" si="59"/>
        <v>136</v>
      </c>
      <c r="M239" s="5">
        <f t="shared" si="60"/>
        <v>0</v>
      </c>
      <c r="N239" s="5">
        <f t="shared" si="61"/>
        <v>51.55</v>
      </c>
      <c r="O239" s="1">
        <v>57</v>
      </c>
      <c r="P239">
        <f t="shared" si="51"/>
        <v>5.7000000000000002E-2</v>
      </c>
      <c r="Q239" s="3" t="s">
        <v>402</v>
      </c>
      <c r="R239" t="str">
        <f t="shared" si="52"/>
        <v>16/11/2016</v>
      </c>
      <c r="S239">
        <f t="shared" si="62"/>
        <v>2016</v>
      </c>
      <c r="T239">
        <f t="shared" si="63"/>
        <v>11</v>
      </c>
      <c r="U239" t="str">
        <f t="shared" si="64"/>
        <v>11</v>
      </c>
      <c r="V239">
        <f t="shared" si="65"/>
        <v>16</v>
      </c>
      <c r="W239" t="str">
        <f t="shared" si="66"/>
        <v>16</v>
      </c>
      <c r="X239" t="str">
        <f t="shared" si="67"/>
        <v>https://api.geomagnetism.ga.gov.au/agrf?latd=-27&amp;latm=59&amp;lats=29&amp;lond=136&amp;lonm=0&amp;lons=51.55&amp;year=2016&amp;month=11&amp;day=16&amp;elev=0.057&amp;Ein=D&amp;Ein=d</v>
      </c>
    </row>
    <row r="240" spans="1:24" ht="17" x14ac:dyDescent="0.25">
      <c r="A240" s="1" t="s">
        <v>323</v>
      </c>
      <c r="B240" s="1">
        <v>-28.000450000000001</v>
      </c>
      <c r="C240" s="1">
        <v>135.50414000000001</v>
      </c>
      <c r="D240" t="s">
        <v>947</v>
      </c>
      <c r="E240" t="s">
        <v>948</v>
      </c>
      <c r="F240" t="str">
        <f t="shared" si="53"/>
        <v>-28° 0' 1.62"</v>
      </c>
      <c r="G240" t="str">
        <f t="shared" si="54"/>
        <v>135° 30' 14.90"</v>
      </c>
      <c r="H240" s="5">
        <f t="shared" si="55"/>
        <v>28</v>
      </c>
      <c r="I240" s="5">
        <f t="shared" si="56"/>
        <v>-28</v>
      </c>
      <c r="J240" s="5">
        <f t="shared" si="57"/>
        <v>0</v>
      </c>
      <c r="K240" s="5">
        <f t="shared" si="58"/>
        <v>1.62</v>
      </c>
      <c r="L240" s="5">
        <f t="shared" si="59"/>
        <v>135</v>
      </c>
      <c r="M240" s="5">
        <f t="shared" si="60"/>
        <v>30</v>
      </c>
      <c r="N240" s="5">
        <f t="shared" si="61"/>
        <v>14.9</v>
      </c>
      <c r="O240" s="1">
        <v>99</v>
      </c>
      <c r="P240">
        <f t="shared" si="51"/>
        <v>9.9000000000000005E-2</v>
      </c>
      <c r="Q240" s="3" t="s">
        <v>397</v>
      </c>
      <c r="R240" t="str">
        <f t="shared" si="52"/>
        <v>21/11/2016</v>
      </c>
      <c r="S240">
        <f t="shared" si="62"/>
        <v>2016</v>
      </c>
      <c r="T240">
        <f t="shared" si="63"/>
        <v>11</v>
      </c>
      <c r="U240" t="str">
        <f t="shared" si="64"/>
        <v>11</v>
      </c>
      <c r="V240">
        <f t="shared" si="65"/>
        <v>21</v>
      </c>
      <c r="W240" t="str">
        <f t="shared" si="66"/>
        <v>21</v>
      </c>
      <c r="X240" t="str">
        <f t="shared" si="67"/>
        <v>https://api.geomagnetism.ga.gov.au/agrf?latd=-28&amp;latm=0&amp;lats=1.62&amp;lond=135&amp;lonm=30&amp;lons=14.9&amp;year=2016&amp;month=11&amp;day=21&amp;elev=0.099&amp;Ein=D&amp;Ein=d</v>
      </c>
    </row>
    <row r="241" spans="1:24" ht="17" x14ac:dyDescent="0.25">
      <c r="A241" s="1" t="s">
        <v>324</v>
      </c>
      <c r="B241" s="1">
        <v>-28.01821</v>
      </c>
      <c r="C241" s="1">
        <v>135.01258000000001</v>
      </c>
      <c r="D241" t="s">
        <v>949</v>
      </c>
      <c r="E241" t="s">
        <v>950</v>
      </c>
      <c r="F241" t="str">
        <f t="shared" si="53"/>
        <v>-28° 1' 5.56"</v>
      </c>
      <c r="G241" t="str">
        <f t="shared" si="54"/>
        <v>135° 0' 45.29"</v>
      </c>
      <c r="H241" s="5">
        <f t="shared" si="55"/>
        <v>28</v>
      </c>
      <c r="I241" s="5">
        <f t="shared" si="56"/>
        <v>-28</v>
      </c>
      <c r="J241" s="5">
        <f t="shared" si="57"/>
        <v>1</v>
      </c>
      <c r="K241" s="5">
        <f t="shared" si="58"/>
        <v>5.56</v>
      </c>
      <c r="L241" s="5">
        <f t="shared" si="59"/>
        <v>135</v>
      </c>
      <c r="M241" s="5">
        <f t="shared" si="60"/>
        <v>0</v>
      </c>
      <c r="N241" s="5">
        <f t="shared" si="61"/>
        <v>45.29</v>
      </c>
      <c r="O241" s="1">
        <v>131</v>
      </c>
      <c r="P241">
        <f t="shared" si="51"/>
        <v>0.13100000000000001</v>
      </c>
      <c r="Q241" s="3" t="s">
        <v>403</v>
      </c>
      <c r="R241" t="str">
        <f t="shared" si="52"/>
        <v>23/05/2017</v>
      </c>
      <c r="S241">
        <f t="shared" si="62"/>
        <v>2017</v>
      </c>
      <c r="T241">
        <f t="shared" si="63"/>
        <v>5</v>
      </c>
      <c r="U241" t="str">
        <f t="shared" si="64"/>
        <v>05</v>
      </c>
      <c r="V241">
        <f t="shared" si="65"/>
        <v>23</v>
      </c>
      <c r="W241" t="str">
        <f t="shared" si="66"/>
        <v>23</v>
      </c>
      <c r="X241" t="str">
        <f t="shared" si="67"/>
        <v>https://api.geomagnetism.ga.gov.au/agrf?latd=-28&amp;latm=1&amp;lats=5.56&amp;lond=135&amp;lonm=0&amp;lons=45.29&amp;year=2017&amp;month=05&amp;day=23&amp;elev=0.131&amp;Ein=D&amp;Ein=d</v>
      </c>
    </row>
    <row r="242" spans="1:24" ht="17" x14ac:dyDescent="0.25">
      <c r="A242" s="1" t="s">
        <v>325</v>
      </c>
      <c r="B242" s="1">
        <v>-27.981639999999999</v>
      </c>
      <c r="C242" s="1">
        <v>134.49561</v>
      </c>
      <c r="D242" t="s">
        <v>951</v>
      </c>
      <c r="E242" t="s">
        <v>952</v>
      </c>
      <c r="F242" t="str">
        <f t="shared" si="53"/>
        <v>-27° 58' 53.90"</v>
      </c>
      <c r="G242" t="str">
        <f t="shared" si="54"/>
        <v>134° 29' 44.20"</v>
      </c>
      <c r="H242" s="5">
        <f t="shared" si="55"/>
        <v>27</v>
      </c>
      <c r="I242" s="5">
        <f t="shared" si="56"/>
        <v>-27</v>
      </c>
      <c r="J242" s="5">
        <f t="shared" si="57"/>
        <v>58</v>
      </c>
      <c r="K242" s="5">
        <f t="shared" si="58"/>
        <v>53.9</v>
      </c>
      <c r="L242" s="5">
        <f t="shared" si="59"/>
        <v>134</v>
      </c>
      <c r="M242" s="5">
        <f t="shared" si="60"/>
        <v>29</v>
      </c>
      <c r="N242" s="5">
        <f t="shared" si="61"/>
        <v>44.2</v>
      </c>
      <c r="O242" s="1">
        <v>218</v>
      </c>
      <c r="P242">
        <f t="shared" si="51"/>
        <v>0.218</v>
      </c>
      <c r="Q242" s="3" t="s">
        <v>397</v>
      </c>
      <c r="R242" t="str">
        <f t="shared" si="52"/>
        <v>21/11/2016</v>
      </c>
      <c r="S242">
        <f t="shared" si="62"/>
        <v>2016</v>
      </c>
      <c r="T242">
        <f t="shared" si="63"/>
        <v>11</v>
      </c>
      <c r="U242" t="str">
        <f t="shared" si="64"/>
        <v>11</v>
      </c>
      <c r="V242">
        <f t="shared" si="65"/>
        <v>21</v>
      </c>
      <c r="W242" t="str">
        <f t="shared" si="66"/>
        <v>21</v>
      </c>
      <c r="X242" t="str">
        <f t="shared" si="67"/>
        <v>https://api.geomagnetism.ga.gov.au/agrf?latd=-27&amp;latm=58&amp;lats=53.9&amp;lond=134&amp;lonm=29&amp;lons=44.2&amp;year=2016&amp;month=11&amp;day=21&amp;elev=0.218&amp;Ein=D&amp;Ein=d</v>
      </c>
    </row>
    <row r="243" spans="1:24" ht="17" x14ac:dyDescent="0.25">
      <c r="A243" s="1" t="s">
        <v>326</v>
      </c>
      <c r="B243" s="1">
        <v>-27.97946</v>
      </c>
      <c r="C243" s="1">
        <v>134.52233000000001</v>
      </c>
      <c r="D243" t="s">
        <v>953</v>
      </c>
      <c r="E243" t="s">
        <v>954</v>
      </c>
      <c r="F243" t="str">
        <f t="shared" si="53"/>
        <v>-27° 58' 46.06"</v>
      </c>
      <c r="G243" t="str">
        <f t="shared" si="54"/>
        <v>134° 31' 20.39"</v>
      </c>
      <c r="H243" s="5">
        <f t="shared" si="55"/>
        <v>27</v>
      </c>
      <c r="I243" s="5">
        <f t="shared" si="56"/>
        <v>-27</v>
      </c>
      <c r="J243" s="5">
        <f t="shared" si="57"/>
        <v>58</v>
      </c>
      <c r="K243" s="5">
        <f t="shared" si="58"/>
        <v>46.06</v>
      </c>
      <c r="L243" s="5">
        <f t="shared" si="59"/>
        <v>134</v>
      </c>
      <c r="M243" s="5">
        <f t="shared" si="60"/>
        <v>31</v>
      </c>
      <c r="N243" s="5">
        <f t="shared" si="61"/>
        <v>20.39</v>
      </c>
      <c r="O243" s="1">
        <v>218</v>
      </c>
      <c r="P243">
        <f t="shared" si="51"/>
        <v>0.218</v>
      </c>
      <c r="Q243" s="3" t="s">
        <v>404</v>
      </c>
      <c r="R243" t="str">
        <f t="shared" si="52"/>
        <v>10/04/2018</v>
      </c>
      <c r="S243">
        <f t="shared" si="62"/>
        <v>2018</v>
      </c>
      <c r="T243">
        <f t="shared" si="63"/>
        <v>4</v>
      </c>
      <c r="U243" t="str">
        <f t="shared" si="64"/>
        <v>04</v>
      </c>
      <c r="V243">
        <f t="shared" si="65"/>
        <v>10</v>
      </c>
      <c r="W243" t="str">
        <f t="shared" si="66"/>
        <v>10</v>
      </c>
      <c r="X243" t="str">
        <f t="shared" si="67"/>
        <v>https://api.geomagnetism.ga.gov.au/agrf?latd=-27&amp;latm=58&amp;lats=46.06&amp;lond=134&amp;lonm=31&amp;lons=20.39&amp;year=2018&amp;month=04&amp;day=10&amp;elev=0.218&amp;Ein=D&amp;Ein=d</v>
      </c>
    </row>
    <row r="244" spans="1:24" ht="17" x14ac:dyDescent="0.25">
      <c r="A244" s="1" t="s">
        <v>327</v>
      </c>
      <c r="B244" s="1">
        <v>-27.979389999999999</v>
      </c>
      <c r="C244" s="1">
        <v>134.52257</v>
      </c>
      <c r="D244" t="s">
        <v>955</v>
      </c>
      <c r="E244" t="s">
        <v>956</v>
      </c>
      <c r="F244" t="str">
        <f t="shared" si="53"/>
        <v>-27° 58' 45.80"</v>
      </c>
      <c r="G244" t="str">
        <f t="shared" si="54"/>
        <v>134° 31' 21.25"</v>
      </c>
      <c r="H244" s="5">
        <f t="shared" si="55"/>
        <v>27</v>
      </c>
      <c r="I244" s="5">
        <f t="shared" si="56"/>
        <v>-27</v>
      </c>
      <c r="J244" s="5">
        <f t="shared" si="57"/>
        <v>58</v>
      </c>
      <c r="K244" s="5">
        <f t="shared" si="58"/>
        <v>45.8</v>
      </c>
      <c r="L244" s="5">
        <f t="shared" si="59"/>
        <v>134</v>
      </c>
      <c r="M244" s="5">
        <f t="shared" si="60"/>
        <v>31</v>
      </c>
      <c r="N244" s="5">
        <f t="shared" si="61"/>
        <v>21.25</v>
      </c>
      <c r="O244" s="1">
        <v>218</v>
      </c>
      <c r="P244">
        <f t="shared" si="51"/>
        <v>0.218</v>
      </c>
      <c r="Q244" s="3" t="s">
        <v>404</v>
      </c>
      <c r="R244" t="str">
        <f t="shared" si="52"/>
        <v>10/04/2018</v>
      </c>
      <c r="S244">
        <f t="shared" si="62"/>
        <v>2018</v>
      </c>
      <c r="T244">
        <f t="shared" si="63"/>
        <v>4</v>
      </c>
      <c r="U244" t="str">
        <f t="shared" si="64"/>
        <v>04</v>
      </c>
      <c r="V244">
        <f t="shared" si="65"/>
        <v>10</v>
      </c>
      <c r="W244" t="str">
        <f t="shared" si="66"/>
        <v>10</v>
      </c>
      <c r="X244" t="str">
        <f t="shared" si="67"/>
        <v>https://api.geomagnetism.ga.gov.au/agrf?latd=-27&amp;latm=58&amp;lats=45.8&amp;lond=134&amp;lonm=31&amp;lons=21.25&amp;year=2018&amp;month=04&amp;day=10&amp;elev=0.218&amp;Ein=D&amp;Ein=d</v>
      </c>
    </row>
    <row r="245" spans="1:24" ht="17" x14ac:dyDescent="0.25">
      <c r="A245" s="1" t="s">
        <v>457</v>
      </c>
      <c r="B245" s="1">
        <v>-27.495139999999999</v>
      </c>
      <c r="C245" s="1">
        <v>140.99565999999999</v>
      </c>
      <c r="D245" t="s">
        <v>957</v>
      </c>
      <c r="E245" t="s">
        <v>958</v>
      </c>
      <c r="F245" t="str">
        <f t="shared" si="53"/>
        <v>-27° 29' 42.50"</v>
      </c>
      <c r="G245" t="str">
        <f t="shared" si="54"/>
        <v>140° 59' 44.38"</v>
      </c>
      <c r="H245" s="5">
        <f t="shared" si="55"/>
        <v>27</v>
      </c>
      <c r="I245" s="5">
        <f t="shared" si="56"/>
        <v>-27</v>
      </c>
      <c r="J245" s="5">
        <f t="shared" si="57"/>
        <v>29</v>
      </c>
      <c r="K245" s="5">
        <f t="shared" si="58"/>
        <v>42.5</v>
      </c>
      <c r="L245" s="5">
        <f t="shared" si="59"/>
        <v>140</v>
      </c>
      <c r="M245" s="5">
        <f t="shared" si="60"/>
        <v>59</v>
      </c>
      <c r="N245" s="5">
        <f t="shared" si="61"/>
        <v>44.38</v>
      </c>
      <c r="O245" s="1">
        <v>97</v>
      </c>
      <c r="P245">
        <f t="shared" ref="P245:P304" si="68">O245/1000</f>
        <v>9.7000000000000003E-2</v>
      </c>
      <c r="Q245" s="3" t="s">
        <v>389</v>
      </c>
      <c r="R245" t="str">
        <f t="shared" ref="R245:R304" si="69">TEXT(DATEVALUE(LEFT(Q245,10)), "dd/mm/yyyy")</f>
        <v>16/03/2017</v>
      </c>
      <c r="S245">
        <f t="shared" si="62"/>
        <v>2017</v>
      </c>
      <c r="T245">
        <f t="shared" si="63"/>
        <v>3</v>
      </c>
      <c r="U245" t="str">
        <f t="shared" si="64"/>
        <v>03</v>
      </c>
      <c r="V245">
        <f t="shared" si="65"/>
        <v>16</v>
      </c>
      <c r="W245" t="str">
        <f t="shared" si="66"/>
        <v>16</v>
      </c>
      <c r="X245" t="str">
        <f t="shared" si="67"/>
        <v>https://api.geomagnetism.ga.gov.au/agrf?latd=-27&amp;latm=29&amp;lats=42.5&amp;lond=140&amp;lonm=59&amp;lons=44.38&amp;year=2017&amp;month=03&amp;day=16&amp;elev=0.097&amp;Ein=D&amp;Ein=d</v>
      </c>
    </row>
    <row r="246" spans="1:24" ht="17" x14ac:dyDescent="0.25">
      <c r="A246" s="1" t="s">
        <v>328</v>
      </c>
      <c r="B246" s="1">
        <v>-27.478449999999999</v>
      </c>
      <c r="C246" s="1">
        <v>140.51535000000001</v>
      </c>
      <c r="D246" t="s">
        <v>959</v>
      </c>
      <c r="E246" t="s">
        <v>960</v>
      </c>
      <c r="F246" t="str">
        <f t="shared" si="53"/>
        <v>-27° 28' 42.42"</v>
      </c>
      <c r="G246" t="str">
        <f t="shared" si="54"/>
        <v>140° 30' 55.26"</v>
      </c>
      <c r="H246" s="5">
        <f t="shared" si="55"/>
        <v>27</v>
      </c>
      <c r="I246" s="5">
        <f t="shared" si="56"/>
        <v>-27</v>
      </c>
      <c r="J246" s="5">
        <f t="shared" si="57"/>
        <v>28</v>
      </c>
      <c r="K246" s="5">
        <f t="shared" si="58"/>
        <v>42.42</v>
      </c>
      <c r="L246" s="5">
        <f t="shared" si="59"/>
        <v>140</v>
      </c>
      <c r="M246" s="5">
        <f t="shared" si="60"/>
        <v>30</v>
      </c>
      <c r="N246" s="5">
        <f t="shared" si="61"/>
        <v>55.26</v>
      </c>
      <c r="O246" s="1">
        <v>42</v>
      </c>
      <c r="P246">
        <f t="shared" si="68"/>
        <v>4.2000000000000003E-2</v>
      </c>
      <c r="Q246" s="3" t="s">
        <v>401</v>
      </c>
      <c r="R246" t="str">
        <f t="shared" si="69"/>
        <v>17/03/2017</v>
      </c>
      <c r="S246">
        <f t="shared" si="62"/>
        <v>2017</v>
      </c>
      <c r="T246">
        <f t="shared" si="63"/>
        <v>3</v>
      </c>
      <c r="U246" t="str">
        <f t="shared" si="64"/>
        <v>03</v>
      </c>
      <c r="V246">
        <f t="shared" si="65"/>
        <v>17</v>
      </c>
      <c r="W246" t="str">
        <f t="shared" si="66"/>
        <v>17</v>
      </c>
      <c r="X246" t="str">
        <f t="shared" si="67"/>
        <v>https://api.geomagnetism.ga.gov.au/agrf?latd=-27&amp;latm=28&amp;lats=42.42&amp;lond=140&amp;lonm=30&amp;lons=55.26&amp;year=2017&amp;month=03&amp;day=17&amp;elev=0.042&amp;Ein=D&amp;Ein=d</v>
      </c>
    </row>
    <row r="247" spans="1:24" ht="17" x14ac:dyDescent="0.25">
      <c r="A247" s="1" t="s">
        <v>329</v>
      </c>
      <c r="B247" s="1">
        <v>-27.50798</v>
      </c>
      <c r="C247" s="1">
        <v>139.97639000000001</v>
      </c>
      <c r="D247" t="s">
        <v>961</v>
      </c>
      <c r="E247" t="s">
        <v>962</v>
      </c>
      <c r="F247" t="str">
        <f t="shared" si="53"/>
        <v>-27° 30' 28.73"</v>
      </c>
      <c r="G247" t="str">
        <f t="shared" si="54"/>
        <v>139° 58' 35.00"</v>
      </c>
      <c r="H247" s="5">
        <f t="shared" si="55"/>
        <v>27</v>
      </c>
      <c r="I247" s="5">
        <f t="shared" si="56"/>
        <v>-27</v>
      </c>
      <c r="J247" s="5">
        <f t="shared" si="57"/>
        <v>30</v>
      </c>
      <c r="K247" s="5">
        <f t="shared" si="58"/>
        <v>28.73</v>
      </c>
      <c r="L247" s="5">
        <f t="shared" si="59"/>
        <v>139</v>
      </c>
      <c r="M247" s="5">
        <f t="shared" si="60"/>
        <v>58</v>
      </c>
      <c r="N247" s="5">
        <f t="shared" si="61"/>
        <v>35</v>
      </c>
      <c r="O247" s="1">
        <v>43</v>
      </c>
      <c r="P247">
        <f t="shared" si="68"/>
        <v>4.2999999999999997E-2</v>
      </c>
      <c r="Q247" s="3" t="s">
        <v>401</v>
      </c>
      <c r="R247" t="str">
        <f t="shared" si="69"/>
        <v>17/03/2017</v>
      </c>
      <c r="S247">
        <f t="shared" si="62"/>
        <v>2017</v>
      </c>
      <c r="T247">
        <f t="shared" si="63"/>
        <v>3</v>
      </c>
      <c r="U247" t="str">
        <f t="shared" si="64"/>
        <v>03</v>
      </c>
      <c r="V247">
        <f t="shared" si="65"/>
        <v>17</v>
      </c>
      <c r="W247" t="str">
        <f t="shared" si="66"/>
        <v>17</v>
      </c>
      <c r="X247" t="str">
        <f t="shared" si="67"/>
        <v>https://api.geomagnetism.ga.gov.au/agrf?latd=-27&amp;latm=30&amp;lats=28.73&amp;lond=139&amp;lonm=58&amp;lons=35&amp;year=2017&amp;month=03&amp;day=17&amp;elev=0.043&amp;Ein=D&amp;Ein=d</v>
      </c>
    </row>
    <row r="248" spans="1:24" ht="17" x14ac:dyDescent="0.25">
      <c r="A248" s="1" t="s">
        <v>330</v>
      </c>
      <c r="B248" s="1">
        <v>-27.499949999999998</v>
      </c>
      <c r="C248" s="1">
        <v>139.50317999999999</v>
      </c>
      <c r="D248" t="s">
        <v>963</v>
      </c>
      <c r="E248" t="s">
        <v>964</v>
      </c>
      <c r="F248" t="str">
        <f t="shared" si="53"/>
        <v>-27° 29' 59.82"</v>
      </c>
      <c r="G248" t="str">
        <f t="shared" si="54"/>
        <v>139° 30' 11.45"</v>
      </c>
      <c r="H248" s="5">
        <f t="shared" si="55"/>
        <v>27</v>
      </c>
      <c r="I248" s="5">
        <f t="shared" si="56"/>
        <v>-27</v>
      </c>
      <c r="J248" s="5">
        <f t="shared" si="57"/>
        <v>29</v>
      </c>
      <c r="K248" s="5">
        <f t="shared" si="58"/>
        <v>59.82</v>
      </c>
      <c r="L248" s="5">
        <f t="shared" si="59"/>
        <v>139</v>
      </c>
      <c r="M248" s="5">
        <f t="shared" si="60"/>
        <v>30</v>
      </c>
      <c r="N248" s="5">
        <f t="shared" si="61"/>
        <v>11.45</v>
      </c>
      <c r="O248" s="1">
        <v>27</v>
      </c>
      <c r="P248">
        <f t="shared" si="68"/>
        <v>2.7E-2</v>
      </c>
      <c r="Q248" s="3" t="s">
        <v>405</v>
      </c>
      <c r="R248" t="str">
        <f t="shared" si="69"/>
        <v>22/04/2017</v>
      </c>
      <c r="S248">
        <f t="shared" si="62"/>
        <v>2017</v>
      </c>
      <c r="T248">
        <f t="shared" si="63"/>
        <v>4</v>
      </c>
      <c r="U248" t="str">
        <f t="shared" si="64"/>
        <v>04</v>
      </c>
      <c r="V248">
        <f t="shared" si="65"/>
        <v>22</v>
      </c>
      <c r="W248" t="str">
        <f t="shared" si="66"/>
        <v>22</v>
      </c>
      <c r="X248" t="str">
        <f t="shared" si="67"/>
        <v>https://api.geomagnetism.ga.gov.au/agrf?latd=-27&amp;latm=29&amp;lats=59.82&amp;lond=139&amp;lonm=30&amp;lons=11.45&amp;year=2017&amp;month=04&amp;day=22&amp;elev=0.027&amp;Ein=D&amp;Ein=d</v>
      </c>
    </row>
    <row r="249" spans="1:24" ht="17" x14ac:dyDescent="0.25">
      <c r="A249" s="1" t="s">
        <v>331</v>
      </c>
      <c r="B249" s="1">
        <v>-27.493130000000001</v>
      </c>
      <c r="C249" s="1">
        <v>138.99561</v>
      </c>
      <c r="D249" t="s">
        <v>965</v>
      </c>
      <c r="E249" t="s">
        <v>966</v>
      </c>
      <c r="F249" t="str">
        <f t="shared" si="53"/>
        <v>-27° 29' 35.27"</v>
      </c>
      <c r="G249" t="str">
        <f t="shared" si="54"/>
        <v>138° 59' 44.20"</v>
      </c>
      <c r="H249" s="5">
        <f t="shared" si="55"/>
        <v>27</v>
      </c>
      <c r="I249" s="5">
        <f t="shared" si="56"/>
        <v>-27</v>
      </c>
      <c r="J249" s="5">
        <f t="shared" si="57"/>
        <v>29</v>
      </c>
      <c r="K249" s="5">
        <f t="shared" si="58"/>
        <v>35.270000000000003</v>
      </c>
      <c r="L249" s="5">
        <f t="shared" si="59"/>
        <v>138</v>
      </c>
      <c r="M249" s="5">
        <f t="shared" si="60"/>
        <v>59</v>
      </c>
      <c r="N249" s="5">
        <f t="shared" si="61"/>
        <v>44.2</v>
      </c>
      <c r="O249" s="1">
        <v>40</v>
      </c>
      <c r="P249">
        <f t="shared" si="68"/>
        <v>0.04</v>
      </c>
      <c r="Q249" s="3" t="s">
        <v>405</v>
      </c>
      <c r="R249" t="str">
        <f t="shared" si="69"/>
        <v>22/04/2017</v>
      </c>
      <c r="S249">
        <f t="shared" si="62"/>
        <v>2017</v>
      </c>
      <c r="T249">
        <f t="shared" si="63"/>
        <v>4</v>
      </c>
      <c r="U249" t="str">
        <f t="shared" si="64"/>
        <v>04</v>
      </c>
      <c r="V249">
        <f t="shared" si="65"/>
        <v>22</v>
      </c>
      <c r="W249" t="str">
        <f t="shared" si="66"/>
        <v>22</v>
      </c>
      <c r="X249" t="str">
        <f t="shared" si="67"/>
        <v>https://api.geomagnetism.ga.gov.au/agrf?latd=-27&amp;latm=29&amp;lats=35.27&amp;lond=138&amp;lonm=59&amp;lons=44.2&amp;year=2017&amp;month=04&amp;day=22&amp;elev=0.04&amp;Ein=D&amp;Ein=d</v>
      </c>
    </row>
    <row r="250" spans="1:24" ht="17" x14ac:dyDescent="0.25">
      <c r="A250" s="1" t="s">
        <v>332</v>
      </c>
      <c r="B250" s="1">
        <v>-27.499379999999999</v>
      </c>
      <c r="C250" s="1">
        <v>138.46284</v>
      </c>
      <c r="D250" t="s">
        <v>967</v>
      </c>
      <c r="E250" t="s">
        <v>968</v>
      </c>
      <c r="F250" t="str">
        <f t="shared" si="53"/>
        <v>-27° 29' 57.77"</v>
      </c>
      <c r="G250" t="str">
        <f t="shared" si="54"/>
        <v>138° 27' 46.22"</v>
      </c>
      <c r="H250" s="5">
        <f t="shared" si="55"/>
        <v>27</v>
      </c>
      <c r="I250" s="5">
        <f t="shared" si="56"/>
        <v>-27</v>
      </c>
      <c r="J250" s="5">
        <f t="shared" si="57"/>
        <v>29</v>
      </c>
      <c r="K250" s="5">
        <f t="shared" si="58"/>
        <v>57.77</v>
      </c>
      <c r="L250" s="5">
        <f t="shared" si="59"/>
        <v>138</v>
      </c>
      <c r="M250" s="5">
        <f t="shared" si="60"/>
        <v>27</v>
      </c>
      <c r="N250" s="5">
        <f t="shared" si="61"/>
        <v>46.22</v>
      </c>
      <c r="O250" s="1">
        <v>10</v>
      </c>
      <c r="P250">
        <f t="shared" si="68"/>
        <v>0.01</v>
      </c>
      <c r="Q250" s="3" t="s">
        <v>393</v>
      </c>
      <c r="R250" t="str">
        <f t="shared" si="69"/>
        <v>23/04/2017</v>
      </c>
      <c r="S250">
        <f t="shared" si="62"/>
        <v>2017</v>
      </c>
      <c r="T250">
        <f t="shared" si="63"/>
        <v>4</v>
      </c>
      <c r="U250" t="str">
        <f t="shared" si="64"/>
        <v>04</v>
      </c>
      <c r="V250">
        <f t="shared" si="65"/>
        <v>23</v>
      </c>
      <c r="W250" t="str">
        <f t="shared" si="66"/>
        <v>23</v>
      </c>
      <c r="X250" t="str">
        <f t="shared" si="67"/>
        <v>https://api.geomagnetism.ga.gov.au/agrf?latd=-27&amp;latm=29&amp;lats=57.77&amp;lond=138&amp;lonm=27&amp;lons=46.22&amp;year=2017&amp;month=04&amp;day=23&amp;elev=0.01&amp;Ein=D&amp;Ein=d</v>
      </c>
    </row>
    <row r="251" spans="1:24" ht="17" x14ac:dyDescent="0.25">
      <c r="A251" s="1" t="s">
        <v>333</v>
      </c>
      <c r="B251" s="1">
        <v>-27.504359999999998</v>
      </c>
      <c r="C251" s="1">
        <v>138.00595000000001</v>
      </c>
      <c r="D251" t="s">
        <v>969</v>
      </c>
      <c r="E251" t="s">
        <v>970</v>
      </c>
      <c r="F251" t="str">
        <f t="shared" si="53"/>
        <v>-27° 30' 15.70"</v>
      </c>
      <c r="G251" t="str">
        <f t="shared" si="54"/>
        <v>138° 0' 21.42"</v>
      </c>
      <c r="H251" s="5">
        <f t="shared" si="55"/>
        <v>27</v>
      </c>
      <c r="I251" s="5">
        <f t="shared" si="56"/>
        <v>-27</v>
      </c>
      <c r="J251" s="5">
        <f t="shared" si="57"/>
        <v>30</v>
      </c>
      <c r="K251" s="5">
        <f t="shared" si="58"/>
        <v>15.7</v>
      </c>
      <c r="L251" s="5">
        <f t="shared" si="59"/>
        <v>138</v>
      </c>
      <c r="M251" s="5">
        <f t="shared" si="60"/>
        <v>0</v>
      </c>
      <c r="N251" s="5">
        <f t="shared" si="61"/>
        <v>21.42</v>
      </c>
      <c r="O251" s="1">
        <v>13</v>
      </c>
      <c r="P251">
        <f t="shared" si="68"/>
        <v>1.2999999999999999E-2</v>
      </c>
      <c r="Q251" s="3" t="s">
        <v>393</v>
      </c>
      <c r="R251" t="str">
        <f t="shared" si="69"/>
        <v>23/04/2017</v>
      </c>
      <c r="S251">
        <f t="shared" si="62"/>
        <v>2017</v>
      </c>
      <c r="T251">
        <f t="shared" si="63"/>
        <v>4</v>
      </c>
      <c r="U251" t="str">
        <f t="shared" si="64"/>
        <v>04</v>
      </c>
      <c r="V251">
        <f t="shared" si="65"/>
        <v>23</v>
      </c>
      <c r="W251" t="str">
        <f t="shared" si="66"/>
        <v>23</v>
      </c>
      <c r="X251" t="str">
        <f t="shared" si="67"/>
        <v>https://api.geomagnetism.ga.gov.au/agrf?latd=-27&amp;latm=30&amp;lats=15.7&amp;lond=138&amp;lonm=0&amp;lons=21.42&amp;year=2017&amp;month=04&amp;day=23&amp;elev=0.013&amp;Ein=D&amp;Ein=d</v>
      </c>
    </row>
    <row r="252" spans="1:24" ht="17" x14ac:dyDescent="0.25">
      <c r="A252" s="1" t="s">
        <v>334</v>
      </c>
      <c r="B252" s="1">
        <v>-27.494260000000001</v>
      </c>
      <c r="C252" s="1">
        <v>137.50346999999999</v>
      </c>
      <c r="D252" t="s">
        <v>971</v>
      </c>
      <c r="E252" t="s">
        <v>972</v>
      </c>
      <c r="F252" t="str">
        <f t="shared" si="53"/>
        <v>-27° 29' 39.34"</v>
      </c>
      <c r="G252" t="str">
        <f t="shared" si="54"/>
        <v>137° 30' 12.49"</v>
      </c>
      <c r="H252" s="5">
        <f t="shared" si="55"/>
        <v>27</v>
      </c>
      <c r="I252" s="5">
        <f t="shared" si="56"/>
        <v>-27</v>
      </c>
      <c r="J252" s="5">
        <f t="shared" si="57"/>
        <v>29</v>
      </c>
      <c r="K252" s="5">
        <f t="shared" si="58"/>
        <v>39.340000000000003</v>
      </c>
      <c r="L252" s="5">
        <f t="shared" si="59"/>
        <v>137</v>
      </c>
      <c r="M252" s="5">
        <f t="shared" si="60"/>
        <v>30</v>
      </c>
      <c r="N252" s="5">
        <f t="shared" si="61"/>
        <v>12.49</v>
      </c>
      <c r="O252" s="1">
        <v>7</v>
      </c>
      <c r="P252">
        <f t="shared" si="68"/>
        <v>7.0000000000000001E-3</v>
      </c>
      <c r="Q252" s="3" t="s">
        <v>406</v>
      </c>
      <c r="R252" t="str">
        <f t="shared" si="69"/>
        <v>18/06/2017</v>
      </c>
      <c r="S252">
        <f t="shared" si="62"/>
        <v>2017</v>
      </c>
      <c r="T252">
        <f t="shared" si="63"/>
        <v>6</v>
      </c>
      <c r="U252" t="str">
        <f t="shared" si="64"/>
        <v>06</v>
      </c>
      <c r="V252">
        <f t="shared" si="65"/>
        <v>18</v>
      </c>
      <c r="W252" t="str">
        <f t="shared" si="66"/>
        <v>18</v>
      </c>
      <c r="X252" t="str">
        <f t="shared" si="67"/>
        <v>https://api.geomagnetism.ga.gov.au/agrf?latd=-27&amp;latm=29&amp;lats=39.34&amp;lond=137&amp;lonm=30&amp;lons=12.49&amp;year=2017&amp;month=06&amp;day=18&amp;elev=0.007&amp;Ein=D&amp;Ein=d</v>
      </c>
    </row>
    <row r="253" spans="1:24" ht="17" x14ac:dyDescent="0.25">
      <c r="A253" s="1" t="s">
        <v>335</v>
      </c>
      <c r="B253" s="1">
        <v>-27.494009999999999</v>
      </c>
      <c r="C253" s="1">
        <v>137.50292999999999</v>
      </c>
      <c r="D253" t="s">
        <v>973</v>
      </c>
      <c r="E253" t="s">
        <v>974</v>
      </c>
      <c r="F253" t="str">
        <f t="shared" si="53"/>
        <v>-27° 29' 38.44"</v>
      </c>
      <c r="G253" t="str">
        <f t="shared" si="54"/>
        <v>137° 30' 10.55"</v>
      </c>
      <c r="H253" s="5">
        <f t="shared" si="55"/>
        <v>27</v>
      </c>
      <c r="I253" s="5">
        <f t="shared" si="56"/>
        <v>-27</v>
      </c>
      <c r="J253" s="5">
        <f t="shared" si="57"/>
        <v>29</v>
      </c>
      <c r="K253" s="5">
        <f t="shared" si="58"/>
        <v>38.44</v>
      </c>
      <c r="L253" s="5">
        <f t="shared" si="59"/>
        <v>137</v>
      </c>
      <c r="M253" s="5">
        <f t="shared" si="60"/>
        <v>30</v>
      </c>
      <c r="N253" s="5">
        <f t="shared" si="61"/>
        <v>10.55</v>
      </c>
      <c r="O253" s="1">
        <v>7</v>
      </c>
      <c r="P253">
        <f t="shared" si="68"/>
        <v>7.0000000000000001E-3</v>
      </c>
      <c r="Q253" s="3" t="s">
        <v>407</v>
      </c>
      <c r="R253" t="str">
        <f t="shared" si="69"/>
        <v>19/06/2017</v>
      </c>
      <c r="S253">
        <f t="shared" si="62"/>
        <v>2017</v>
      </c>
      <c r="T253">
        <f t="shared" si="63"/>
        <v>6</v>
      </c>
      <c r="U253" t="str">
        <f t="shared" si="64"/>
        <v>06</v>
      </c>
      <c r="V253">
        <f t="shared" si="65"/>
        <v>19</v>
      </c>
      <c r="W253" t="str">
        <f t="shared" si="66"/>
        <v>19</v>
      </c>
      <c r="X253" t="str">
        <f t="shared" si="67"/>
        <v>https://api.geomagnetism.ga.gov.au/agrf?latd=-27&amp;latm=29&amp;lats=38.44&amp;lond=137&amp;lonm=30&amp;lons=10.55&amp;year=2017&amp;month=06&amp;day=19&amp;elev=0.007&amp;Ein=D&amp;Ein=d</v>
      </c>
    </row>
    <row r="254" spans="1:24" ht="17" x14ac:dyDescent="0.25">
      <c r="A254" s="1" t="s">
        <v>336</v>
      </c>
      <c r="B254" s="1">
        <v>-27.49972</v>
      </c>
      <c r="C254" s="1">
        <v>136.99879000000001</v>
      </c>
      <c r="D254" t="s">
        <v>975</v>
      </c>
      <c r="E254" t="s">
        <v>976</v>
      </c>
      <c r="F254" t="str">
        <f t="shared" si="53"/>
        <v>-27° 29' 58.99"</v>
      </c>
      <c r="G254" t="str">
        <f t="shared" si="54"/>
        <v>136° 59' 55.64"</v>
      </c>
      <c r="H254" s="5">
        <f t="shared" si="55"/>
        <v>27</v>
      </c>
      <c r="I254" s="5">
        <f t="shared" si="56"/>
        <v>-27</v>
      </c>
      <c r="J254" s="5">
        <f t="shared" si="57"/>
        <v>29</v>
      </c>
      <c r="K254" s="5">
        <f t="shared" si="58"/>
        <v>58.99</v>
      </c>
      <c r="L254" s="5">
        <f t="shared" si="59"/>
        <v>136</v>
      </c>
      <c r="M254" s="5">
        <f t="shared" si="60"/>
        <v>59</v>
      </c>
      <c r="N254" s="5">
        <f t="shared" si="61"/>
        <v>55.64</v>
      </c>
      <c r="O254" s="1">
        <v>17</v>
      </c>
      <c r="P254">
        <f t="shared" si="68"/>
        <v>1.7000000000000001E-2</v>
      </c>
      <c r="Q254" s="3" t="s">
        <v>408</v>
      </c>
      <c r="R254" t="str">
        <f t="shared" si="69"/>
        <v>21/05/2017</v>
      </c>
      <c r="S254">
        <f t="shared" si="62"/>
        <v>2017</v>
      </c>
      <c r="T254">
        <f t="shared" si="63"/>
        <v>5</v>
      </c>
      <c r="U254" t="str">
        <f t="shared" si="64"/>
        <v>05</v>
      </c>
      <c r="V254">
        <f t="shared" si="65"/>
        <v>21</v>
      </c>
      <c r="W254" t="str">
        <f t="shared" si="66"/>
        <v>21</v>
      </c>
      <c r="X254" t="str">
        <f t="shared" si="67"/>
        <v>https://api.geomagnetism.ga.gov.au/agrf?latd=-27&amp;latm=29&amp;lats=58.99&amp;lond=136&amp;lonm=59&amp;lons=55.64&amp;year=2017&amp;month=05&amp;day=21&amp;elev=0.017&amp;Ein=D&amp;Ein=d</v>
      </c>
    </row>
    <row r="255" spans="1:24" ht="17" x14ac:dyDescent="0.25">
      <c r="A255" s="1" t="s">
        <v>337</v>
      </c>
      <c r="B255" s="1">
        <v>-27.50098333</v>
      </c>
      <c r="C255" s="1">
        <v>136.50676669999999</v>
      </c>
      <c r="D255" t="s">
        <v>977</v>
      </c>
      <c r="E255" t="s">
        <v>978</v>
      </c>
      <c r="F255" t="str">
        <f t="shared" si="53"/>
        <v>-27° 30' 3.54"</v>
      </c>
      <c r="G255" t="str">
        <f t="shared" si="54"/>
        <v>136° 30' 24.36"</v>
      </c>
      <c r="H255" s="5">
        <f t="shared" si="55"/>
        <v>27</v>
      </c>
      <c r="I255" s="5">
        <f t="shared" si="56"/>
        <v>-27</v>
      </c>
      <c r="J255" s="5">
        <f t="shared" si="57"/>
        <v>30</v>
      </c>
      <c r="K255" s="5">
        <f t="shared" si="58"/>
        <v>3.54</v>
      </c>
      <c r="L255" s="5">
        <f t="shared" si="59"/>
        <v>136</v>
      </c>
      <c r="M255" s="5">
        <f t="shared" si="60"/>
        <v>30</v>
      </c>
      <c r="N255" s="5">
        <f t="shared" si="61"/>
        <v>24.36</v>
      </c>
      <c r="O255" s="1">
        <v>34</v>
      </c>
      <c r="P255">
        <f t="shared" si="68"/>
        <v>3.4000000000000002E-2</v>
      </c>
      <c r="Q255" s="3" t="s">
        <v>396</v>
      </c>
      <c r="R255" t="str">
        <f t="shared" si="69"/>
        <v>15/11/2016</v>
      </c>
      <c r="S255">
        <f t="shared" si="62"/>
        <v>2016</v>
      </c>
      <c r="T255">
        <f t="shared" si="63"/>
        <v>11</v>
      </c>
      <c r="U255" t="str">
        <f t="shared" si="64"/>
        <v>11</v>
      </c>
      <c r="V255">
        <f t="shared" si="65"/>
        <v>15</v>
      </c>
      <c r="W255" t="str">
        <f t="shared" si="66"/>
        <v>15</v>
      </c>
      <c r="X255" t="str">
        <f t="shared" si="67"/>
        <v>https://api.geomagnetism.ga.gov.au/agrf?latd=-27&amp;latm=30&amp;lats=3.54&amp;lond=136&amp;lonm=30&amp;lons=24.36&amp;year=2016&amp;month=11&amp;day=15&amp;elev=0.034&amp;Ein=D&amp;Ein=d</v>
      </c>
    </row>
    <row r="256" spans="1:24" ht="17" x14ac:dyDescent="0.25">
      <c r="A256" s="1" t="s">
        <v>338</v>
      </c>
      <c r="B256" s="1">
        <v>-27.500330000000002</v>
      </c>
      <c r="C256" s="1">
        <v>136.51062999999999</v>
      </c>
      <c r="D256" t="s">
        <v>979</v>
      </c>
      <c r="E256" t="s">
        <v>980</v>
      </c>
      <c r="F256" t="str">
        <f t="shared" si="53"/>
        <v>-27° 30' 1.19"</v>
      </c>
      <c r="G256" t="str">
        <f t="shared" si="54"/>
        <v>136° 30' 38.27"</v>
      </c>
      <c r="H256" s="5">
        <f t="shared" si="55"/>
        <v>27</v>
      </c>
      <c r="I256" s="5">
        <f t="shared" si="56"/>
        <v>-27</v>
      </c>
      <c r="J256" s="5">
        <f t="shared" si="57"/>
        <v>30</v>
      </c>
      <c r="K256" s="5">
        <f t="shared" si="58"/>
        <v>1.19</v>
      </c>
      <c r="L256" s="5">
        <f t="shared" si="59"/>
        <v>136</v>
      </c>
      <c r="M256" s="5">
        <f t="shared" si="60"/>
        <v>30</v>
      </c>
      <c r="N256" s="5">
        <f t="shared" si="61"/>
        <v>38.270000000000003</v>
      </c>
      <c r="O256" s="1">
        <v>34</v>
      </c>
      <c r="P256">
        <f t="shared" si="68"/>
        <v>3.4000000000000002E-2</v>
      </c>
      <c r="Q256" s="3" t="s">
        <v>408</v>
      </c>
      <c r="R256" t="str">
        <f t="shared" si="69"/>
        <v>21/05/2017</v>
      </c>
      <c r="S256">
        <f t="shared" si="62"/>
        <v>2017</v>
      </c>
      <c r="T256">
        <f t="shared" si="63"/>
        <v>5</v>
      </c>
      <c r="U256" t="str">
        <f t="shared" si="64"/>
        <v>05</v>
      </c>
      <c r="V256">
        <f t="shared" si="65"/>
        <v>21</v>
      </c>
      <c r="W256" t="str">
        <f t="shared" si="66"/>
        <v>21</v>
      </c>
      <c r="X256" t="str">
        <f t="shared" si="67"/>
        <v>https://api.geomagnetism.ga.gov.au/agrf?latd=-27&amp;latm=30&amp;lats=1.19&amp;lond=136&amp;lonm=30&amp;lons=38.27&amp;year=2017&amp;month=05&amp;day=21&amp;elev=0.034&amp;Ein=D&amp;Ein=d</v>
      </c>
    </row>
    <row r="257" spans="1:24" ht="17" x14ac:dyDescent="0.25">
      <c r="A257" s="1" t="s">
        <v>339</v>
      </c>
      <c r="B257" s="1">
        <v>-27.492583329999999</v>
      </c>
      <c r="C257" s="1">
        <v>136.01171669999999</v>
      </c>
      <c r="D257" t="s">
        <v>981</v>
      </c>
      <c r="E257" t="s">
        <v>982</v>
      </c>
      <c r="F257" t="str">
        <f t="shared" si="53"/>
        <v>-27° 29' 33.30"</v>
      </c>
      <c r="G257" t="str">
        <f t="shared" si="54"/>
        <v>136° 0' 42.18"</v>
      </c>
      <c r="H257" s="5">
        <f t="shared" si="55"/>
        <v>27</v>
      </c>
      <c r="I257" s="5">
        <f t="shared" si="56"/>
        <v>-27</v>
      </c>
      <c r="J257" s="5">
        <f t="shared" si="57"/>
        <v>29</v>
      </c>
      <c r="K257" s="5">
        <f t="shared" si="58"/>
        <v>33.299999999999997</v>
      </c>
      <c r="L257" s="5">
        <f t="shared" si="59"/>
        <v>136</v>
      </c>
      <c r="M257" s="5">
        <f t="shared" si="60"/>
        <v>0</v>
      </c>
      <c r="N257" s="5">
        <f t="shared" si="61"/>
        <v>42.18</v>
      </c>
      <c r="O257" s="1">
        <v>125</v>
      </c>
      <c r="P257">
        <f t="shared" si="68"/>
        <v>0.125</v>
      </c>
      <c r="Q257" s="3" t="s">
        <v>409</v>
      </c>
      <c r="R257" t="str">
        <f t="shared" si="69"/>
        <v>20/11/2016</v>
      </c>
      <c r="S257">
        <f t="shared" si="62"/>
        <v>2016</v>
      </c>
      <c r="T257">
        <f t="shared" si="63"/>
        <v>11</v>
      </c>
      <c r="U257" t="str">
        <f t="shared" si="64"/>
        <v>11</v>
      </c>
      <c r="V257">
        <f t="shared" si="65"/>
        <v>20</v>
      </c>
      <c r="W257" t="str">
        <f t="shared" si="66"/>
        <v>20</v>
      </c>
      <c r="X257" t="str">
        <f t="shared" si="67"/>
        <v>https://api.geomagnetism.ga.gov.au/agrf?latd=-27&amp;latm=29&amp;lats=33.3&amp;lond=136&amp;lonm=0&amp;lons=42.18&amp;year=2016&amp;month=11&amp;day=20&amp;elev=0.125&amp;Ein=D&amp;Ein=d</v>
      </c>
    </row>
    <row r="258" spans="1:24" ht="17" x14ac:dyDescent="0.25">
      <c r="A258" s="1" t="s">
        <v>340</v>
      </c>
      <c r="B258" s="1">
        <v>-27.00142</v>
      </c>
      <c r="C258" s="1">
        <v>140.97704999999999</v>
      </c>
      <c r="D258" t="s">
        <v>983</v>
      </c>
      <c r="E258" t="s">
        <v>984</v>
      </c>
      <c r="F258" t="str">
        <f t="shared" si="53"/>
        <v>-27° 0' 5.11"</v>
      </c>
      <c r="G258" t="str">
        <f t="shared" si="54"/>
        <v>140° 58' 37.38"</v>
      </c>
      <c r="H258" s="5">
        <f t="shared" si="55"/>
        <v>27</v>
      </c>
      <c r="I258" s="5">
        <f t="shared" si="56"/>
        <v>-27</v>
      </c>
      <c r="J258" s="5">
        <f t="shared" si="57"/>
        <v>0</v>
      </c>
      <c r="K258" s="5">
        <f t="shared" si="58"/>
        <v>5.1100000000000003</v>
      </c>
      <c r="L258" s="5">
        <f t="shared" si="59"/>
        <v>140</v>
      </c>
      <c r="M258" s="5">
        <f t="shared" si="60"/>
        <v>58</v>
      </c>
      <c r="N258" s="5">
        <f t="shared" si="61"/>
        <v>37.380000000000003</v>
      </c>
      <c r="O258" s="1">
        <v>78</v>
      </c>
      <c r="P258">
        <f t="shared" si="68"/>
        <v>7.8E-2</v>
      </c>
      <c r="Q258" s="3" t="s">
        <v>401</v>
      </c>
      <c r="R258" t="str">
        <f t="shared" si="69"/>
        <v>17/03/2017</v>
      </c>
      <c r="S258">
        <f t="shared" si="62"/>
        <v>2017</v>
      </c>
      <c r="T258">
        <f t="shared" si="63"/>
        <v>3</v>
      </c>
      <c r="U258" t="str">
        <f t="shared" si="64"/>
        <v>03</v>
      </c>
      <c r="V258">
        <f t="shared" si="65"/>
        <v>17</v>
      </c>
      <c r="W258" t="str">
        <f t="shared" si="66"/>
        <v>17</v>
      </c>
      <c r="X258" t="str">
        <f t="shared" si="67"/>
        <v>https://api.geomagnetism.ga.gov.au/agrf?latd=-27&amp;latm=0&amp;lats=5.11&amp;lond=140&amp;lonm=58&amp;lons=37.38&amp;year=2017&amp;month=03&amp;day=17&amp;elev=0.078&amp;Ein=D&amp;Ein=d</v>
      </c>
    </row>
    <row r="259" spans="1:24" ht="17" x14ac:dyDescent="0.25">
      <c r="A259" s="1" t="s">
        <v>341</v>
      </c>
      <c r="B259" s="1">
        <v>-26.9907</v>
      </c>
      <c r="C259" s="1">
        <v>140.50899000000001</v>
      </c>
      <c r="D259" t="s">
        <v>985</v>
      </c>
      <c r="E259" t="s">
        <v>986</v>
      </c>
      <c r="F259" t="str">
        <f t="shared" ref="F259:F322" si="70">SUBSTITUTE(D259,"¬∞","°")</f>
        <v>-26° 59' 26.52"</v>
      </c>
      <c r="G259" t="str">
        <f t="shared" ref="G259:G322" si="71">SUBSTITUTE(E259,"¬∞","°")</f>
        <v>140° 30' 32.36"</v>
      </c>
      <c r="H259" s="5">
        <f t="shared" ref="H259:H322" si="72">IF(LEFT(F259,1)="-", -1, 1) * VALUE(LEFT(F259, FIND("°", F259)-1))</f>
        <v>26</v>
      </c>
      <c r="I259" s="5">
        <f t="shared" ref="I259:I322" si="73">-H259</f>
        <v>-26</v>
      </c>
      <c r="J259" s="5">
        <f t="shared" ref="J259:J322" si="74">VALUE(MID(F259, FIND("°",F259)+2, FIND("'",F259)-FIND("°", F259)-2))</f>
        <v>59</v>
      </c>
      <c r="K259" s="5">
        <f t="shared" ref="K259:K322" si="75">VALUE(MID(F259, FIND("'", F259)+2, FIND("""", F259)-FIND("'", F259)-2))</f>
        <v>26.52</v>
      </c>
      <c r="L259" s="5">
        <f t="shared" ref="L259:L322" si="76">IF(LEFT(G259,1)="-", -1, 1) * VALUE(LEFT(G259, FIND("°", G259)-1))</f>
        <v>140</v>
      </c>
      <c r="M259" s="5">
        <f t="shared" ref="M259:M322" si="77">VALUE(MID(G259, FIND("°",G259)+2, FIND("'",G259)-FIND("°", G259)-2))</f>
        <v>30</v>
      </c>
      <c r="N259" s="5">
        <f t="shared" ref="N259:N322" si="78">VALUE(MID(G259, FIND("'", G259)+2, FIND("""",G259)-FIND("'", G259)-2))</f>
        <v>32.36</v>
      </c>
      <c r="O259" s="1">
        <v>49</v>
      </c>
      <c r="P259">
        <f t="shared" si="68"/>
        <v>4.9000000000000002E-2</v>
      </c>
      <c r="Q259" s="3" t="s">
        <v>401</v>
      </c>
      <c r="R259" t="str">
        <f t="shared" si="69"/>
        <v>17/03/2017</v>
      </c>
      <c r="S259">
        <f t="shared" ref="S259:S322" si="79">YEAR(R259)</f>
        <v>2017</v>
      </c>
      <c r="T259">
        <f t="shared" ref="T259:T322" si="80">MONTH(R259)</f>
        <v>3</v>
      </c>
      <c r="U259" t="str">
        <f t="shared" ref="U259:U322" si="81">TEXT(T259, "00")</f>
        <v>03</v>
      </c>
      <c r="V259">
        <f t="shared" ref="V259:V322" si="82">DAY(R259)</f>
        <v>17</v>
      </c>
      <c r="W259" t="str">
        <f t="shared" ref="W259:W322" si="83">TEXT(V259,"00")</f>
        <v>17</v>
      </c>
      <c r="X259" t="str">
        <f t="shared" ref="X259:X322" si="84">CONCATENATE(
    "https://api.geomagnetism.ga.gov.au/agrf?",
    "latd=", I259,
    "&amp;latm=", J259,
    "&amp;lats=", K259,
    "&amp;lond=", L259,
    "&amp;lonm=", M259,
    "&amp;lons=", N259,
    "&amp;year=", S259,
    "&amp;month=", U259,
    "&amp;day=", W259,
    "&amp;elev=", P259,
    "&amp;Ein=D",
    "&amp;Ein=d"
)</f>
        <v>https://api.geomagnetism.ga.gov.au/agrf?latd=-26&amp;latm=59&amp;lats=26.52&amp;lond=140&amp;lonm=30&amp;lons=32.36&amp;year=2017&amp;month=03&amp;day=17&amp;elev=0.049&amp;Ein=D&amp;Ein=d</v>
      </c>
    </row>
    <row r="260" spans="1:24" ht="17" x14ac:dyDescent="0.25">
      <c r="A260" s="1" t="s">
        <v>342</v>
      </c>
      <c r="B260" s="1">
        <v>-26.991099999999999</v>
      </c>
      <c r="C260" s="1">
        <v>140.02755999999999</v>
      </c>
      <c r="D260" t="s">
        <v>987</v>
      </c>
      <c r="E260" t="s">
        <v>988</v>
      </c>
      <c r="F260" t="str">
        <f t="shared" si="70"/>
        <v>-26° 59' 27.96"</v>
      </c>
      <c r="G260" t="str">
        <f t="shared" si="71"/>
        <v>140° 1' 39.22"</v>
      </c>
      <c r="H260" s="5">
        <f t="shared" si="72"/>
        <v>26</v>
      </c>
      <c r="I260" s="5">
        <f t="shared" si="73"/>
        <v>-26</v>
      </c>
      <c r="J260" s="5">
        <f t="shared" si="74"/>
        <v>59</v>
      </c>
      <c r="K260" s="5">
        <f t="shared" si="75"/>
        <v>27.96</v>
      </c>
      <c r="L260" s="5">
        <f t="shared" si="76"/>
        <v>140</v>
      </c>
      <c r="M260" s="5">
        <f t="shared" si="77"/>
        <v>1</v>
      </c>
      <c r="N260" s="5">
        <f t="shared" si="78"/>
        <v>39.22</v>
      </c>
      <c r="O260" s="1">
        <v>36</v>
      </c>
      <c r="P260">
        <f t="shared" si="68"/>
        <v>3.5999999999999997E-2</v>
      </c>
      <c r="Q260" s="3" t="s">
        <v>401</v>
      </c>
      <c r="R260" t="str">
        <f t="shared" si="69"/>
        <v>17/03/2017</v>
      </c>
      <c r="S260">
        <f t="shared" si="79"/>
        <v>2017</v>
      </c>
      <c r="T260">
        <f t="shared" si="80"/>
        <v>3</v>
      </c>
      <c r="U260" t="str">
        <f t="shared" si="81"/>
        <v>03</v>
      </c>
      <c r="V260">
        <f t="shared" si="82"/>
        <v>17</v>
      </c>
      <c r="W260" t="str">
        <f t="shared" si="83"/>
        <v>17</v>
      </c>
      <c r="X260" t="str">
        <f t="shared" si="84"/>
        <v>https://api.geomagnetism.ga.gov.au/agrf?latd=-26&amp;latm=59&amp;lats=27.96&amp;lond=140&amp;lonm=1&amp;lons=39.22&amp;year=2017&amp;month=03&amp;day=17&amp;elev=0.036&amp;Ein=D&amp;Ein=d</v>
      </c>
    </row>
    <row r="261" spans="1:24" ht="17" x14ac:dyDescent="0.25">
      <c r="A261" s="1" t="s">
        <v>343</v>
      </c>
      <c r="B261" s="1">
        <v>-26.947700000000001</v>
      </c>
      <c r="C261" s="1">
        <v>139.51352</v>
      </c>
      <c r="D261" t="s">
        <v>989</v>
      </c>
      <c r="E261" t="s">
        <v>990</v>
      </c>
      <c r="F261" t="str">
        <f t="shared" si="70"/>
        <v>-26° 56' 51.72"</v>
      </c>
      <c r="G261" t="str">
        <f t="shared" si="71"/>
        <v>139° 30' 48.67"</v>
      </c>
      <c r="H261" s="5">
        <f t="shared" si="72"/>
        <v>26</v>
      </c>
      <c r="I261" s="5">
        <f t="shared" si="73"/>
        <v>-26</v>
      </c>
      <c r="J261" s="5">
        <f t="shared" si="74"/>
        <v>56</v>
      </c>
      <c r="K261" s="5">
        <f t="shared" si="75"/>
        <v>51.72</v>
      </c>
      <c r="L261" s="5">
        <f t="shared" si="76"/>
        <v>139</v>
      </c>
      <c r="M261" s="5">
        <f t="shared" si="77"/>
        <v>30</v>
      </c>
      <c r="N261" s="5">
        <f t="shared" si="78"/>
        <v>48.67</v>
      </c>
      <c r="O261" s="1">
        <v>41</v>
      </c>
      <c r="P261">
        <f t="shared" si="68"/>
        <v>4.1000000000000002E-2</v>
      </c>
      <c r="Q261" s="3" t="s">
        <v>405</v>
      </c>
      <c r="R261" t="str">
        <f t="shared" si="69"/>
        <v>22/04/2017</v>
      </c>
      <c r="S261">
        <f t="shared" si="79"/>
        <v>2017</v>
      </c>
      <c r="T261">
        <f t="shared" si="80"/>
        <v>4</v>
      </c>
      <c r="U261" t="str">
        <f t="shared" si="81"/>
        <v>04</v>
      </c>
      <c r="V261">
        <f t="shared" si="82"/>
        <v>22</v>
      </c>
      <c r="W261" t="str">
        <f t="shared" si="83"/>
        <v>22</v>
      </c>
      <c r="X261" t="str">
        <f t="shared" si="84"/>
        <v>https://api.geomagnetism.ga.gov.au/agrf?latd=-26&amp;latm=56&amp;lats=51.72&amp;lond=139&amp;lonm=30&amp;lons=48.67&amp;year=2017&amp;month=04&amp;day=22&amp;elev=0.041&amp;Ein=D&amp;Ein=d</v>
      </c>
    </row>
    <row r="262" spans="1:24" ht="17" x14ac:dyDescent="0.25">
      <c r="A262" s="1" t="s">
        <v>344</v>
      </c>
      <c r="B262" s="1">
        <v>-26.999849999999999</v>
      </c>
      <c r="C262" s="1">
        <v>139.00111000000001</v>
      </c>
      <c r="D262" t="s">
        <v>991</v>
      </c>
      <c r="E262" t="s">
        <v>992</v>
      </c>
      <c r="F262" t="str">
        <f t="shared" si="70"/>
        <v>-26° 59' 59.46"</v>
      </c>
      <c r="G262" t="str">
        <f t="shared" si="71"/>
        <v>139° 0' 4.00"</v>
      </c>
      <c r="H262" s="5">
        <f t="shared" si="72"/>
        <v>26</v>
      </c>
      <c r="I262" s="5">
        <f t="shared" si="73"/>
        <v>-26</v>
      </c>
      <c r="J262" s="5">
        <f t="shared" si="74"/>
        <v>59</v>
      </c>
      <c r="K262" s="5">
        <f t="shared" si="75"/>
        <v>59.46</v>
      </c>
      <c r="L262" s="5">
        <f t="shared" si="76"/>
        <v>139</v>
      </c>
      <c r="M262" s="5">
        <f t="shared" si="77"/>
        <v>0</v>
      </c>
      <c r="N262" s="5">
        <f t="shared" si="78"/>
        <v>4</v>
      </c>
      <c r="O262" s="1">
        <v>26</v>
      </c>
      <c r="P262">
        <f t="shared" si="68"/>
        <v>2.5999999999999999E-2</v>
      </c>
      <c r="Q262" s="3" t="s">
        <v>405</v>
      </c>
      <c r="R262" t="str">
        <f t="shared" si="69"/>
        <v>22/04/2017</v>
      </c>
      <c r="S262">
        <f t="shared" si="79"/>
        <v>2017</v>
      </c>
      <c r="T262">
        <f t="shared" si="80"/>
        <v>4</v>
      </c>
      <c r="U262" t="str">
        <f t="shared" si="81"/>
        <v>04</v>
      </c>
      <c r="V262">
        <f t="shared" si="82"/>
        <v>22</v>
      </c>
      <c r="W262" t="str">
        <f t="shared" si="83"/>
        <v>22</v>
      </c>
      <c r="X262" t="str">
        <f t="shared" si="84"/>
        <v>https://api.geomagnetism.ga.gov.au/agrf?latd=-26&amp;latm=59&amp;lats=59.46&amp;lond=139&amp;lonm=0&amp;lons=4&amp;year=2017&amp;month=04&amp;day=22&amp;elev=0.026&amp;Ein=D&amp;Ein=d</v>
      </c>
    </row>
    <row r="263" spans="1:24" ht="17" x14ac:dyDescent="0.25">
      <c r="A263" s="1" t="s">
        <v>345</v>
      </c>
      <c r="B263" s="1">
        <v>-27.055219999999998</v>
      </c>
      <c r="C263" s="1">
        <v>138.53799000000001</v>
      </c>
      <c r="D263" t="s">
        <v>993</v>
      </c>
      <c r="E263" t="s">
        <v>994</v>
      </c>
      <c r="F263" t="str">
        <f t="shared" si="70"/>
        <v>-27° 3' 18.79"</v>
      </c>
      <c r="G263" t="str">
        <f t="shared" si="71"/>
        <v>138° 32' 16.76"</v>
      </c>
      <c r="H263" s="5">
        <f t="shared" si="72"/>
        <v>27</v>
      </c>
      <c r="I263" s="5">
        <f t="shared" si="73"/>
        <v>-27</v>
      </c>
      <c r="J263" s="5">
        <f t="shared" si="74"/>
        <v>3</v>
      </c>
      <c r="K263" s="5">
        <f t="shared" si="75"/>
        <v>18.79</v>
      </c>
      <c r="L263" s="5">
        <f t="shared" si="76"/>
        <v>138</v>
      </c>
      <c r="M263" s="5">
        <f t="shared" si="77"/>
        <v>32</v>
      </c>
      <c r="N263" s="5">
        <f t="shared" si="78"/>
        <v>16.760000000000002</v>
      </c>
      <c r="O263" s="1">
        <v>11</v>
      </c>
      <c r="P263">
        <f t="shared" si="68"/>
        <v>1.0999999999999999E-2</v>
      </c>
      <c r="Q263" s="3" t="s">
        <v>405</v>
      </c>
      <c r="R263" t="str">
        <f t="shared" si="69"/>
        <v>22/04/2017</v>
      </c>
      <c r="S263">
        <f t="shared" si="79"/>
        <v>2017</v>
      </c>
      <c r="T263">
        <f t="shared" si="80"/>
        <v>4</v>
      </c>
      <c r="U263" t="str">
        <f t="shared" si="81"/>
        <v>04</v>
      </c>
      <c r="V263">
        <f t="shared" si="82"/>
        <v>22</v>
      </c>
      <c r="W263" t="str">
        <f t="shared" si="83"/>
        <v>22</v>
      </c>
      <c r="X263" t="str">
        <f t="shared" si="84"/>
        <v>https://api.geomagnetism.ga.gov.au/agrf?latd=-27&amp;latm=3&amp;lats=18.79&amp;lond=138&amp;lonm=32&amp;lons=16.76&amp;year=2017&amp;month=04&amp;day=22&amp;elev=0.011&amp;Ein=D&amp;Ein=d</v>
      </c>
    </row>
    <row r="264" spans="1:24" ht="17" x14ac:dyDescent="0.25">
      <c r="A264" s="1" t="s">
        <v>346</v>
      </c>
      <c r="B264" s="1">
        <v>-27.002199999999998</v>
      </c>
      <c r="C264" s="1">
        <v>138.00486000000001</v>
      </c>
      <c r="D264" t="s">
        <v>995</v>
      </c>
      <c r="E264" t="s">
        <v>996</v>
      </c>
      <c r="F264" t="str">
        <f t="shared" si="70"/>
        <v>-27° 0' 7.92"</v>
      </c>
      <c r="G264" t="str">
        <f t="shared" si="71"/>
        <v>138° 0' 17.50"</v>
      </c>
      <c r="H264" s="5">
        <f t="shared" si="72"/>
        <v>27</v>
      </c>
      <c r="I264" s="5">
        <f t="shared" si="73"/>
        <v>-27</v>
      </c>
      <c r="J264" s="5">
        <f t="shared" si="74"/>
        <v>0</v>
      </c>
      <c r="K264" s="5">
        <f t="shared" si="75"/>
        <v>7.92</v>
      </c>
      <c r="L264" s="5">
        <f t="shared" si="76"/>
        <v>138</v>
      </c>
      <c r="M264" s="5">
        <f t="shared" si="77"/>
        <v>0</v>
      </c>
      <c r="N264" s="5">
        <f t="shared" si="78"/>
        <v>17.5</v>
      </c>
      <c r="O264" s="1">
        <v>21</v>
      </c>
      <c r="P264">
        <f t="shared" si="68"/>
        <v>2.1000000000000001E-2</v>
      </c>
      <c r="Q264" s="3" t="s">
        <v>405</v>
      </c>
      <c r="R264" t="str">
        <f t="shared" si="69"/>
        <v>22/04/2017</v>
      </c>
      <c r="S264">
        <f t="shared" si="79"/>
        <v>2017</v>
      </c>
      <c r="T264">
        <f t="shared" si="80"/>
        <v>4</v>
      </c>
      <c r="U264" t="str">
        <f t="shared" si="81"/>
        <v>04</v>
      </c>
      <c r="V264">
        <f t="shared" si="82"/>
        <v>22</v>
      </c>
      <c r="W264" t="str">
        <f t="shared" si="83"/>
        <v>22</v>
      </c>
      <c r="X264" t="str">
        <f t="shared" si="84"/>
        <v>https://api.geomagnetism.ga.gov.au/agrf?latd=-27&amp;latm=0&amp;lats=7.92&amp;lond=138&amp;lonm=0&amp;lons=17.5&amp;year=2017&amp;month=04&amp;day=22&amp;elev=0.021&amp;Ein=D&amp;Ein=d</v>
      </c>
    </row>
    <row r="265" spans="1:24" ht="17" x14ac:dyDescent="0.25">
      <c r="A265" s="1" t="s">
        <v>347</v>
      </c>
      <c r="B265" s="1">
        <v>-26.9984</v>
      </c>
      <c r="C265" s="1">
        <v>137.52316999999999</v>
      </c>
      <c r="D265" t="s">
        <v>997</v>
      </c>
      <c r="E265" t="s">
        <v>998</v>
      </c>
      <c r="F265" t="str">
        <f t="shared" si="70"/>
        <v>-26° 59' 54.24"</v>
      </c>
      <c r="G265" t="str">
        <f t="shared" si="71"/>
        <v>137° 31' 23.41"</v>
      </c>
      <c r="H265" s="5">
        <f t="shared" si="72"/>
        <v>26</v>
      </c>
      <c r="I265" s="5">
        <f t="shared" si="73"/>
        <v>-26</v>
      </c>
      <c r="J265" s="5">
        <f t="shared" si="74"/>
        <v>59</v>
      </c>
      <c r="K265" s="5">
        <f t="shared" si="75"/>
        <v>54.24</v>
      </c>
      <c r="L265" s="5">
        <f t="shared" si="76"/>
        <v>137</v>
      </c>
      <c r="M265" s="5">
        <f t="shared" si="77"/>
        <v>31</v>
      </c>
      <c r="N265" s="5">
        <f t="shared" si="78"/>
        <v>23.41</v>
      </c>
      <c r="O265" s="1">
        <v>12</v>
      </c>
      <c r="P265">
        <f t="shared" si="68"/>
        <v>1.2E-2</v>
      </c>
      <c r="Q265" s="3" t="s">
        <v>407</v>
      </c>
      <c r="R265" t="str">
        <f t="shared" si="69"/>
        <v>19/06/2017</v>
      </c>
      <c r="S265">
        <f t="shared" si="79"/>
        <v>2017</v>
      </c>
      <c r="T265">
        <f t="shared" si="80"/>
        <v>6</v>
      </c>
      <c r="U265" t="str">
        <f t="shared" si="81"/>
        <v>06</v>
      </c>
      <c r="V265">
        <f t="shared" si="82"/>
        <v>19</v>
      </c>
      <c r="W265" t="str">
        <f t="shared" si="83"/>
        <v>19</v>
      </c>
      <c r="X265" t="str">
        <f t="shared" si="84"/>
        <v>https://api.geomagnetism.ga.gov.au/agrf?latd=-26&amp;latm=59&amp;lats=54.24&amp;lond=137&amp;lonm=31&amp;lons=23.41&amp;year=2017&amp;month=06&amp;day=19&amp;elev=0.012&amp;Ein=D&amp;Ein=d</v>
      </c>
    </row>
    <row r="266" spans="1:24" ht="17" x14ac:dyDescent="0.25">
      <c r="A266" s="1" t="s">
        <v>348</v>
      </c>
      <c r="B266" s="1">
        <v>-26.99832</v>
      </c>
      <c r="C266" s="1">
        <v>137.52270999999999</v>
      </c>
      <c r="D266" t="s">
        <v>999</v>
      </c>
      <c r="E266" t="s">
        <v>1000</v>
      </c>
      <c r="F266" t="str">
        <f t="shared" si="70"/>
        <v>-26° 59' 53.95"</v>
      </c>
      <c r="G266" t="str">
        <f t="shared" si="71"/>
        <v>137° 31' 21.76"</v>
      </c>
      <c r="H266" s="5">
        <f t="shared" si="72"/>
        <v>26</v>
      </c>
      <c r="I266" s="5">
        <f t="shared" si="73"/>
        <v>-26</v>
      </c>
      <c r="J266" s="5">
        <f t="shared" si="74"/>
        <v>59</v>
      </c>
      <c r="K266" s="5">
        <f t="shared" si="75"/>
        <v>53.95</v>
      </c>
      <c r="L266" s="5">
        <f t="shared" si="76"/>
        <v>137</v>
      </c>
      <c r="M266" s="5">
        <f t="shared" si="77"/>
        <v>31</v>
      </c>
      <c r="N266" s="5">
        <f t="shared" si="78"/>
        <v>21.76</v>
      </c>
      <c r="O266" s="1">
        <v>12</v>
      </c>
      <c r="P266">
        <f t="shared" si="68"/>
        <v>1.2E-2</v>
      </c>
      <c r="Q266" s="3" t="s">
        <v>406</v>
      </c>
      <c r="R266" t="str">
        <f t="shared" si="69"/>
        <v>18/06/2017</v>
      </c>
      <c r="S266">
        <f t="shared" si="79"/>
        <v>2017</v>
      </c>
      <c r="T266">
        <f t="shared" si="80"/>
        <v>6</v>
      </c>
      <c r="U266" t="str">
        <f t="shared" si="81"/>
        <v>06</v>
      </c>
      <c r="V266">
        <f t="shared" si="82"/>
        <v>18</v>
      </c>
      <c r="W266" t="str">
        <f t="shared" si="83"/>
        <v>18</v>
      </c>
      <c r="X266" t="str">
        <f t="shared" si="84"/>
        <v>https://api.geomagnetism.ga.gov.au/agrf?latd=-26&amp;latm=59&amp;lats=53.95&amp;lond=137&amp;lonm=31&amp;lons=21.76&amp;year=2017&amp;month=06&amp;day=18&amp;elev=0.012&amp;Ein=D&amp;Ein=d</v>
      </c>
    </row>
    <row r="267" spans="1:24" ht="17" x14ac:dyDescent="0.25">
      <c r="A267" s="1" t="s">
        <v>458</v>
      </c>
      <c r="B267" s="1">
        <v>-27.00067</v>
      </c>
      <c r="C267" s="1">
        <v>136.9975</v>
      </c>
      <c r="D267" t="s">
        <v>1001</v>
      </c>
      <c r="E267" t="s">
        <v>1002</v>
      </c>
      <c r="F267" t="str">
        <f t="shared" si="70"/>
        <v>-27° 0' 2.41"</v>
      </c>
      <c r="G267" t="str">
        <f t="shared" si="71"/>
        <v>136° 59' 51.00"</v>
      </c>
      <c r="H267" s="5">
        <f t="shared" si="72"/>
        <v>27</v>
      </c>
      <c r="I267" s="5">
        <f t="shared" si="73"/>
        <v>-27</v>
      </c>
      <c r="J267" s="5">
        <f t="shared" si="74"/>
        <v>0</v>
      </c>
      <c r="K267" s="5">
        <f t="shared" si="75"/>
        <v>2.41</v>
      </c>
      <c r="L267" s="5">
        <f t="shared" si="76"/>
        <v>136</v>
      </c>
      <c r="M267" s="5">
        <f t="shared" si="77"/>
        <v>59</v>
      </c>
      <c r="N267" s="5">
        <f t="shared" si="78"/>
        <v>51</v>
      </c>
      <c r="O267" s="1">
        <v>35</v>
      </c>
      <c r="P267">
        <f t="shared" si="68"/>
        <v>3.5000000000000003E-2</v>
      </c>
      <c r="Q267" s="3" t="s">
        <v>408</v>
      </c>
      <c r="R267" t="str">
        <f t="shared" si="69"/>
        <v>21/05/2017</v>
      </c>
      <c r="S267">
        <f t="shared" si="79"/>
        <v>2017</v>
      </c>
      <c r="T267">
        <f t="shared" si="80"/>
        <v>5</v>
      </c>
      <c r="U267" t="str">
        <f t="shared" si="81"/>
        <v>05</v>
      </c>
      <c r="V267">
        <f t="shared" si="82"/>
        <v>21</v>
      </c>
      <c r="W267" t="str">
        <f t="shared" si="83"/>
        <v>21</v>
      </c>
      <c r="X267" t="str">
        <f t="shared" si="84"/>
        <v>https://api.geomagnetism.ga.gov.au/agrf?latd=-27&amp;latm=0&amp;lats=2.41&amp;lond=136&amp;lonm=59&amp;lons=51&amp;year=2017&amp;month=05&amp;day=21&amp;elev=0.035&amp;Ein=D&amp;Ein=d</v>
      </c>
    </row>
    <row r="268" spans="1:24" ht="17" x14ac:dyDescent="0.25">
      <c r="A268" s="1" t="s">
        <v>349</v>
      </c>
      <c r="B268" s="1">
        <v>-27.00037</v>
      </c>
      <c r="C268" s="1">
        <v>136.5077</v>
      </c>
      <c r="D268" t="s">
        <v>1003</v>
      </c>
      <c r="E268" t="s">
        <v>1004</v>
      </c>
      <c r="F268" t="str">
        <f t="shared" si="70"/>
        <v>-27° 0' 1.33"</v>
      </c>
      <c r="G268" t="str">
        <f t="shared" si="71"/>
        <v>136° 30' 27.72"</v>
      </c>
      <c r="H268" s="5">
        <f t="shared" si="72"/>
        <v>27</v>
      </c>
      <c r="I268" s="5">
        <f t="shared" si="73"/>
        <v>-27</v>
      </c>
      <c r="J268" s="5">
        <f t="shared" si="74"/>
        <v>0</v>
      </c>
      <c r="K268" s="5">
        <f t="shared" si="75"/>
        <v>1.33</v>
      </c>
      <c r="L268" s="5">
        <f t="shared" si="76"/>
        <v>136</v>
      </c>
      <c r="M268" s="5">
        <f t="shared" si="77"/>
        <v>30</v>
      </c>
      <c r="N268" s="5">
        <f t="shared" si="78"/>
        <v>27.72</v>
      </c>
      <c r="O268" s="1">
        <v>0</v>
      </c>
      <c r="P268">
        <f t="shared" si="68"/>
        <v>0</v>
      </c>
      <c r="Q268" s="3" t="s">
        <v>408</v>
      </c>
      <c r="R268" t="str">
        <f t="shared" si="69"/>
        <v>21/05/2017</v>
      </c>
      <c r="S268">
        <f t="shared" si="79"/>
        <v>2017</v>
      </c>
      <c r="T268">
        <f t="shared" si="80"/>
        <v>5</v>
      </c>
      <c r="U268" t="str">
        <f t="shared" si="81"/>
        <v>05</v>
      </c>
      <c r="V268">
        <f t="shared" si="82"/>
        <v>21</v>
      </c>
      <c r="W268" t="str">
        <f t="shared" si="83"/>
        <v>21</v>
      </c>
      <c r="X268" t="str">
        <f t="shared" si="84"/>
        <v>https://api.geomagnetism.ga.gov.au/agrf?latd=-27&amp;latm=0&amp;lats=1.33&amp;lond=136&amp;lonm=30&amp;lons=27.72&amp;year=2017&amp;month=05&amp;day=21&amp;elev=0&amp;Ein=D&amp;Ein=d</v>
      </c>
    </row>
    <row r="269" spans="1:24" ht="17" x14ac:dyDescent="0.25">
      <c r="A269" s="1" t="s">
        <v>350</v>
      </c>
      <c r="B269" s="1">
        <v>-26.999320000000001</v>
      </c>
      <c r="C269" s="1">
        <v>136.00458</v>
      </c>
      <c r="D269" t="s">
        <v>1005</v>
      </c>
      <c r="E269" t="s">
        <v>1006</v>
      </c>
      <c r="F269" t="str">
        <f t="shared" si="70"/>
        <v>-26° 59' 57.55"</v>
      </c>
      <c r="G269" t="str">
        <f t="shared" si="71"/>
        <v>136° 0' 16.49"</v>
      </c>
      <c r="H269" s="5">
        <f t="shared" si="72"/>
        <v>26</v>
      </c>
      <c r="I269" s="5">
        <f t="shared" si="73"/>
        <v>-26</v>
      </c>
      <c r="J269" s="5">
        <f t="shared" si="74"/>
        <v>59</v>
      </c>
      <c r="K269" s="5">
        <f t="shared" si="75"/>
        <v>57.55</v>
      </c>
      <c r="L269" s="5">
        <f t="shared" si="76"/>
        <v>136</v>
      </c>
      <c r="M269" s="5">
        <f t="shared" si="77"/>
        <v>0</v>
      </c>
      <c r="N269" s="5">
        <f t="shared" si="78"/>
        <v>16.489999999999998</v>
      </c>
      <c r="O269" s="1">
        <v>66</v>
      </c>
      <c r="P269">
        <f t="shared" si="68"/>
        <v>6.6000000000000003E-2</v>
      </c>
      <c r="Q269" s="3" t="s">
        <v>410</v>
      </c>
      <c r="R269" t="str">
        <f t="shared" si="69"/>
        <v>17/11/2016</v>
      </c>
      <c r="S269">
        <f t="shared" si="79"/>
        <v>2016</v>
      </c>
      <c r="T269">
        <f t="shared" si="80"/>
        <v>11</v>
      </c>
      <c r="U269" t="str">
        <f t="shared" si="81"/>
        <v>11</v>
      </c>
      <c r="V269">
        <f t="shared" si="82"/>
        <v>17</v>
      </c>
      <c r="W269" t="str">
        <f t="shared" si="83"/>
        <v>17</v>
      </c>
      <c r="X269" t="str">
        <f t="shared" si="84"/>
        <v>https://api.geomagnetism.ga.gov.au/agrf?latd=-26&amp;latm=59&amp;lats=57.55&amp;lond=136&amp;lonm=0&amp;lons=16.49&amp;year=2016&amp;month=11&amp;day=17&amp;elev=0.066&amp;Ein=D&amp;Ein=d</v>
      </c>
    </row>
    <row r="270" spans="1:24" ht="17" x14ac:dyDescent="0.25">
      <c r="A270" s="1" t="s">
        <v>351</v>
      </c>
      <c r="B270" s="1">
        <v>-27.000699999999998</v>
      </c>
      <c r="C270" s="1">
        <v>135.4991</v>
      </c>
      <c r="D270" t="s">
        <v>1007</v>
      </c>
      <c r="E270" t="s">
        <v>1008</v>
      </c>
      <c r="F270" t="str">
        <f t="shared" si="70"/>
        <v>-27° 0' 2.52"</v>
      </c>
      <c r="G270" t="str">
        <f t="shared" si="71"/>
        <v>135° 29' 56.76"</v>
      </c>
      <c r="H270" s="5">
        <f t="shared" si="72"/>
        <v>27</v>
      </c>
      <c r="I270" s="5">
        <f t="shared" si="73"/>
        <v>-27</v>
      </c>
      <c r="J270" s="5">
        <f t="shared" si="74"/>
        <v>0</v>
      </c>
      <c r="K270" s="5">
        <f t="shared" si="75"/>
        <v>2.52</v>
      </c>
      <c r="L270" s="5">
        <f t="shared" si="76"/>
        <v>135</v>
      </c>
      <c r="M270" s="5">
        <f t="shared" si="77"/>
        <v>29</v>
      </c>
      <c r="N270" s="5">
        <f t="shared" si="78"/>
        <v>56.76</v>
      </c>
      <c r="O270" s="1">
        <v>116</v>
      </c>
      <c r="P270">
        <f t="shared" si="68"/>
        <v>0.11600000000000001</v>
      </c>
      <c r="Q270" s="3" t="s">
        <v>409</v>
      </c>
      <c r="R270" t="str">
        <f t="shared" si="69"/>
        <v>20/11/2016</v>
      </c>
      <c r="S270">
        <f t="shared" si="79"/>
        <v>2016</v>
      </c>
      <c r="T270">
        <f t="shared" si="80"/>
        <v>11</v>
      </c>
      <c r="U270" t="str">
        <f t="shared" si="81"/>
        <v>11</v>
      </c>
      <c r="V270">
        <f t="shared" si="82"/>
        <v>20</v>
      </c>
      <c r="W270" t="str">
        <f t="shared" si="83"/>
        <v>20</v>
      </c>
      <c r="X270" t="str">
        <f t="shared" si="84"/>
        <v>https://api.geomagnetism.ga.gov.au/agrf?latd=-27&amp;latm=0&amp;lats=2.52&amp;lond=135&amp;lonm=29&amp;lons=56.76&amp;year=2016&amp;month=11&amp;day=20&amp;elev=0.116&amp;Ein=D&amp;Ein=d</v>
      </c>
    </row>
    <row r="271" spans="1:24" ht="17" x14ac:dyDescent="0.25">
      <c r="A271" s="1" t="s">
        <v>352</v>
      </c>
      <c r="B271" s="1">
        <v>-26.95054</v>
      </c>
      <c r="C271" s="1">
        <v>134.01155</v>
      </c>
      <c r="D271" t="s">
        <v>1009</v>
      </c>
      <c r="E271" t="s">
        <v>1010</v>
      </c>
      <c r="F271" t="str">
        <f t="shared" si="70"/>
        <v>-26° 57' 1.94"</v>
      </c>
      <c r="G271" t="str">
        <f t="shared" si="71"/>
        <v>134° 0' 41.58"</v>
      </c>
      <c r="H271" s="5">
        <f t="shared" si="72"/>
        <v>26</v>
      </c>
      <c r="I271" s="5">
        <f t="shared" si="73"/>
        <v>-26</v>
      </c>
      <c r="J271" s="5">
        <f t="shared" si="74"/>
        <v>57</v>
      </c>
      <c r="K271" s="5">
        <f t="shared" si="75"/>
        <v>1.94</v>
      </c>
      <c r="L271" s="5">
        <f t="shared" si="76"/>
        <v>134</v>
      </c>
      <c r="M271" s="5">
        <f t="shared" si="77"/>
        <v>0</v>
      </c>
      <c r="N271" s="5">
        <f t="shared" si="78"/>
        <v>41.58</v>
      </c>
      <c r="O271" s="1">
        <v>0</v>
      </c>
      <c r="P271">
        <f t="shared" si="68"/>
        <v>0</v>
      </c>
      <c r="Q271" s="3" t="s">
        <v>411</v>
      </c>
      <c r="R271" t="str">
        <f t="shared" si="69"/>
        <v>28/06/2016</v>
      </c>
      <c r="S271">
        <f t="shared" si="79"/>
        <v>2016</v>
      </c>
      <c r="T271">
        <f t="shared" si="80"/>
        <v>6</v>
      </c>
      <c r="U271" t="str">
        <f t="shared" si="81"/>
        <v>06</v>
      </c>
      <c r="V271">
        <f t="shared" si="82"/>
        <v>28</v>
      </c>
      <c r="W271" t="str">
        <f t="shared" si="83"/>
        <v>28</v>
      </c>
      <c r="X271" t="str">
        <f t="shared" si="84"/>
        <v>https://api.geomagnetism.ga.gov.au/agrf?latd=-26&amp;latm=57&amp;lats=1.94&amp;lond=134&amp;lonm=0&amp;lons=41.58&amp;year=2016&amp;month=06&amp;day=28&amp;elev=0&amp;Ein=D&amp;Ein=d</v>
      </c>
    </row>
    <row r="272" spans="1:24" ht="17" x14ac:dyDescent="0.25">
      <c r="A272" s="1" t="s">
        <v>353</v>
      </c>
      <c r="B272" s="1">
        <v>-26.96349</v>
      </c>
      <c r="C272" s="1">
        <v>133.46969999999999</v>
      </c>
      <c r="D272" t="s">
        <v>1011</v>
      </c>
      <c r="E272" t="s">
        <v>1012</v>
      </c>
      <c r="F272" t="str">
        <f t="shared" si="70"/>
        <v>-26° 57' 48.56"</v>
      </c>
      <c r="G272" t="str">
        <f t="shared" si="71"/>
        <v>133° 28' 10.92"</v>
      </c>
      <c r="H272" s="5">
        <f t="shared" si="72"/>
        <v>26</v>
      </c>
      <c r="I272" s="5">
        <f t="shared" si="73"/>
        <v>-26</v>
      </c>
      <c r="J272" s="5">
        <f t="shared" si="74"/>
        <v>57</v>
      </c>
      <c r="K272" s="5">
        <f t="shared" si="75"/>
        <v>48.56</v>
      </c>
      <c r="L272" s="5">
        <f t="shared" si="76"/>
        <v>133</v>
      </c>
      <c r="M272" s="5">
        <f t="shared" si="77"/>
        <v>28</v>
      </c>
      <c r="N272" s="5">
        <f t="shared" si="78"/>
        <v>10.92</v>
      </c>
      <c r="O272" s="1">
        <v>0</v>
      </c>
      <c r="P272">
        <f t="shared" si="68"/>
        <v>0</v>
      </c>
      <c r="Q272" s="3" t="s">
        <v>411</v>
      </c>
      <c r="R272" t="str">
        <f t="shared" si="69"/>
        <v>28/06/2016</v>
      </c>
      <c r="S272">
        <f t="shared" si="79"/>
        <v>2016</v>
      </c>
      <c r="T272">
        <f t="shared" si="80"/>
        <v>6</v>
      </c>
      <c r="U272" t="str">
        <f t="shared" si="81"/>
        <v>06</v>
      </c>
      <c r="V272">
        <f t="shared" si="82"/>
        <v>28</v>
      </c>
      <c r="W272" t="str">
        <f t="shared" si="83"/>
        <v>28</v>
      </c>
      <c r="X272" t="str">
        <f t="shared" si="84"/>
        <v>https://api.geomagnetism.ga.gov.au/agrf?latd=-26&amp;latm=57&amp;lats=48.56&amp;lond=133&amp;lonm=28&amp;lons=10.92&amp;year=2016&amp;month=06&amp;day=28&amp;elev=0&amp;Ein=D&amp;Ein=d</v>
      </c>
    </row>
    <row r="273" spans="1:24" ht="17" x14ac:dyDescent="0.25">
      <c r="A273" s="1" t="s">
        <v>354</v>
      </c>
      <c r="B273" s="1">
        <v>-26.51315</v>
      </c>
      <c r="C273" s="1">
        <v>140.99700000000001</v>
      </c>
      <c r="D273" t="s">
        <v>1013</v>
      </c>
      <c r="E273" t="s">
        <v>1014</v>
      </c>
      <c r="F273" t="str">
        <f t="shared" si="70"/>
        <v>-26° 30' 47.34"</v>
      </c>
      <c r="G273" t="str">
        <f t="shared" si="71"/>
        <v>140° 59' 49.20"</v>
      </c>
      <c r="H273" s="5">
        <f t="shared" si="72"/>
        <v>26</v>
      </c>
      <c r="I273" s="5">
        <f t="shared" si="73"/>
        <v>-26</v>
      </c>
      <c r="J273" s="5">
        <f t="shared" si="74"/>
        <v>30</v>
      </c>
      <c r="K273" s="5">
        <f t="shared" si="75"/>
        <v>47.34</v>
      </c>
      <c r="L273" s="5">
        <f t="shared" si="76"/>
        <v>140</v>
      </c>
      <c r="M273" s="5">
        <f t="shared" si="77"/>
        <v>59</v>
      </c>
      <c r="N273" s="5">
        <f t="shared" si="78"/>
        <v>49.2</v>
      </c>
      <c r="O273" s="1">
        <v>143</v>
      </c>
      <c r="P273">
        <f t="shared" si="68"/>
        <v>0.14299999999999999</v>
      </c>
      <c r="Q273" s="3" t="s">
        <v>401</v>
      </c>
      <c r="R273" t="str">
        <f t="shared" si="69"/>
        <v>17/03/2017</v>
      </c>
      <c r="S273">
        <f t="shared" si="79"/>
        <v>2017</v>
      </c>
      <c r="T273">
        <f t="shared" si="80"/>
        <v>3</v>
      </c>
      <c r="U273" t="str">
        <f t="shared" si="81"/>
        <v>03</v>
      </c>
      <c r="V273">
        <f t="shared" si="82"/>
        <v>17</v>
      </c>
      <c r="W273" t="str">
        <f t="shared" si="83"/>
        <v>17</v>
      </c>
      <c r="X273" t="str">
        <f t="shared" si="84"/>
        <v>https://api.geomagnetism.ga.gov.au/agrf?latd=-26&amp;latm=30&amp;lats=47.34&amp;lond=140&amp;lonm=59&amp;lons=49.2&amp;year=2017&amp;month=03&amp;day=17&amp;elev=0.143&amp;Ein=D&amp;Ein=d</v>
      </c>
    </row>
    <row r="274" spans="1:24" ht="17" x14ac:dyDescent="0.25">
      <c r="A274" s="1" t="s">
        <v>355</v>
      </c>
      <c r="B274" s="1">
        <v>-26.52251</v>
      </c>
      <c r="C274" s="1">
        <v>140.42948000000001</v>
      </c>
      <c r="D274" t="s">
        <v>1015</v>
      </c>
      <c r="E274" t="s">
        <v>1016</v>
      </c>
      <c r="F274" t="str">
        <f t="shared" si="70"/>
        <v>-26° 31' 21.04"</v>
      </c>
      <c r="G274" t="str">
        <f t="shared" si="71"/>
        <v>140° 25' 46.13"</v>
      </c>
      <c r="H274" s="5">
        <f t="shared" si="72"/>
        <v>26</v>
      </c>
      <c r="I274" s="5">
        <f t="shared" si="73"/>
        <v>-26</v>
      </c>
      <c r="J274" s="5">
        <f t="shared" si="74"/>
        <v>31</v>
      </c>
      <c r="K274" s="5">
        <f t="shared" si="75"/>
        <v>21.04</v>
      </c>
      <c r="L274" s="5">
        <f t="shared" si="76"/>
        <v>140</v>
      </c>
      <c r="M274" s="5">
        <f t="shared" si="77"/>
        <v>25</v>
      </c>
      <c r="N274" s="5">
        <f t="shared" si="78"/>
        <v>46.13</v>
      </c>
      <c r="O274" s="1">
        <v>59</v>
      </c>
      <c r="P274">
        <f t="shared" si="68"/>
        <v>5.8999999999999997E-2</v>
      </c>
      <c r="Q274" s="3" t="s">
        <v>412</v>
      </c>
      <c r="R274" t="str">
        <f t="shared" si="69"/>
        <v>18/03/2017</v>
      </c>
      <c r="S274">
        <f t="shared" si="79"/>
        <v>2017</v>
      </c>
      <c r="T274">
        <f t="shared" si="80"/>
        <v>3</v>
      </c>
      <c r="U274" t="str">
        <f t="shared" si="81"/>
        <v>03</v>
      </c>
      <c r="V274">
        <f t="shared" si="82"/>
        <v>18</v>
      </c>
      <c r="W274" t="str">
        <f t="shared" si="83"/>
        <v>18</v>
      </c>
      <c r="X274" t="str">
        <f t="shared" si="84"/>
        <v>https://api.geomagnetism.ga.gov.au/agrf?latd=-26&amp;latm=31&amp;lats=21.04&amp;lond=140&amp;lonm=25&amp;lons=46.13&amp;year=2017&amp;month=03&amp;day=18&amp;elev=0.059&amp;Ein=D&amp;Ein=d</v>
      </c>
    </row>
    <row r="275" spans="1:24" ht="17" x14ac:dyDescent="0.25">
      <c r="A275" s="1" t="s">
        <v>356</v>
      </c>
      <c r="B275" s="1">
        <v>-26.505800000000001</v>
      </c>
      <c r="C275" s="1">
        <v>139.9974</v>
      </c>
      <c r="D275" t="s">
        <v>1017</v>
      </c>
      <c r="E275" t="s">
        <v>1018</v>
      </c>
      <c r="F275" t="str">
        <f t="shared" si="70"/>
        <v>-26° 30' 20.88"</v>
      </c>
      <c r="G275" t="str">
        <f t="shared" si="71"/>
        <v>139° 59' 50.64"</v>
      </c>
      <c r="H275" s="5">
        <f t="shared" si="72"/>
        <v>26</v>
      </c>
      <c r="I275" s="5">
        <f t="shared" si="73"/>
        <v>-26</v>
      </c>
      <c r="J275" s="5">
        <f t="shared" si="74"/>
        <v>30</v>
      </c>
      <c r="K275" s="5">
        <f t="shared" si="75"/>
        <v>20.88</v>
      </c>
      <c r="L275" s="5">
        <f t="shared" si="76"/>
        <v>139</v>
      </c>
      <c r="M275" s="5">
        <f t="shared" si="77"/>
        <v>59</v>
      </c>
      <c r="N275" s="5">
        <f t="shared" si="78"/>
        <v>50.64</v>
      </c>
      <c r="O275" s="1">
        <v>58</v>
      </c>
      <c r="P275">
        <f t="shared" si="68"/>
        <v>5.8000000000000003E-2</v>
      </c>
      <c r="Q275" s="3" t="s">
        <v>412</v>
      </c>
      <c r="R275" t="str">
        <f t="shared" si="69"/>
        <v>18/03/2017</v>
      </c>
      <c r="S275">
        <f t="shared" si="79"/>
        <v>2017</v>
      </c>
      <c r="T275">
        <f t="shared" si="80"/>
        <v>3</v>
      </c>
      <c r="U275" t="str">
        <f t="shared" si="81"/>
        <v>03</v>
      </c>
      <c r="V275">
        <f t="shared" si="82"/>
        <v>18</v>
      </c>
      <c r="W275" t="str">
        <f t="shared" si="83"/>
        <v>18</v>
      </c>
      <c r="X275" t="str">
        <f t="shared" si="84"/>
        <v>https://api.geomagnetism.ga.gov.au/agrf?latd=-26&amp;latm=30&amp;lats=20.88&amp;lond=139&amp;lonm=59&amp;lons=50.64&amp;year=2017&amp;month=03&amp;day=18&amp;elev=0.058&amp;Ein=D&amp;Ein=d</v>
      </c>
    </row>
    <row r="276" spans="1:24" ht="17" x14ac:dyDescent="0.25">
      <c r="A276" s="1" t="s">
        <v>357</v>
      </c>
      <c r="B276" s="1">
        <v>-26.4879</v>
      </c>
      <c r="C276" s="1">
        <v>139.56631999999999</v>
      </c>
      <c r="D276" t="s">
        <v>1019</v>
      </c>
      <c r="E276" t="s">
        <v>1020</v>
      </c>
      <c r="F276" t="str">
        <f t="shared" si="70"/>
        <v>-26° 29' 16.44"</v>
      </c>
      <c r="G276" t="str">
        <f t="shared" si="71"/>
        <v>139° 33' 58.75"</v>
      </c>
      <c r="H276" s="5">
        <f t="shared" si="72"/>
        <v>26</v>
      </c>
      <c r="I276" s="5">
        <f t="shared" si="73"/>
        <v>-26</v>
      </c>
      <c r="J276" s="5">
        <f t="shared" si="74"/>
        <v>29</v>
      </c>
      <c r="K276" s="5">
        <f t="shared" si="75"/>
        <v>16.440000000000001</v>
      </c>
      <c r="L276" s="5">
        <f t="shared" si="76"/>
        <v>139</v>
      </c>
      <c r="M276" s="5">
        <f t="shared" si="77"/>
        <v>33</v>
      </c>
      <c r="N276" s="5">
        <f t="shared" si="78"/>
        <v>58.75</v>
      </c>
      <c r="O276" s="1">
        <v>37</v>
      </c>
      <c r="P276">
        <f t="shared" si="68"/>
        <v>3.6999999999999998E-2</v>
      </c>
      <c r="Q276" s="3" t="s">
        <v>405</v>
      </c>
      <c r="R276" t="str">
        <f t="shared" si="69"/>
        <v>22/04/2017</v>
      </c>
      <c r="S276">
        <f t="shared" si="79"/>
        <v>2017</v>
      </c>
      <c r="T276">
        <f t="shared" si="80"/>
        <v>4</v>
      </c>
      <c r="U276" t="str">
        <f t="shared" si="81"/>
        <v>04</v>
      </c>
      <c r="V276">
        <f t="shared" si="82"/>
        <v>22</v>
      </c>
      <c r="W276" t="str">
        <f t="shared" si="83"/>
        <v>22</v>
      </c>
      <c r="X276" t="str">
        <f t="shared" si="84"/>
        <v>https://api.geomagnetism.ga.gov.au/agrf?latd=-26&amp;latm=29&amp;lats=16.44&amp;lond=139&amp;lonm=33&amp;lons=58.75&amp;year=2017&amp;month=04&amp;day=22&amp;elev=0.037&amp;Ein=D&amp;Ein=d</v>
      </c>
    </row>
    <row r="277" spans="1:24" ht="17" x14ac:dyDescent="0.25">
      <c r="A277" s="1" t="s">
        <v>358</v>
      </c>
      <c r="B277" s="1">
        <v>-26.497730000000001</v>
      </c>
      <c r="C277" s="1">
        <v>138.99533</v>
      </c>
      <c r="D277" t="s">
        <v>1021</v>
      </c>
      <c r="E277" t="s">
        <v>1022</v>
      </c>
      <c r="F277" t="str">
        <f t="shared" si="70"/>
        <v>-26° 29' 51.83"</v>
      </c>
      <c r="G277" t="str">
        <f t="shared" si="71"/>
        <v>138° 59' 43.19"</v>
      </c>
      <c r="H277" s="5">
        <f t="shared" si="72"/>
        <v>26</v>
      </c>
      <c r="I277" s="5">
        <f t="shared" si="73"/>
        <v>-26</v>
      </c>
      <c r="J277" s="5">
        <f t="shared" si="74"/>
        <v>29</v>
      </c>
      <c r="K277" s="5">
        <f t="shared" si="75"/>
        <v>51.83</v>
      </c>
      <c r="L277" s="5">
        <f t="shared" si="76"/>
        <v>138</v>
      </c>
      <c r="M277" s="5">
        <f t="shared" si="77"/>
        <v>59</v>
      </c>
      <c r="N277" s="5">
        <f t="shared" si="78"/>
        <v>43.19</v>
      </c>
      <c r="O277" s="1">
        <v>23</v>
      </c>
      <c r="P277">
        <f t="shared" si="68"/>
        <v>2.3E-2</v>
      </c>
      <c r="Q277" s="3" t="s">
        <v>405</v>
      </c>
      <c r="R277" t="str">
        <f t="shared" si="69"/>
        <v>22/04/2017</v>
      </c>
      <c r="S277">
        <f t="shared" si="79"/>
        <v>2017</v>
      </c>
      <c r="T277">
        <f t="shared" si="80"/>
        <v>4</v>
      </c>
      <c r="U277" t="str">
        <f t="shared" si="81"/>
        <v>04</v>
      </c>
      <c r="V277">
        <f t="shared" si="82"/>
        <v>22</v>
      </c>
      <c r="W277" t="str">
        <f t="shared" si="83"/>
        <v>22</v>
      </c>
      <c r="X277" t="str">
        <f t="shared" si="84"/>
        <v>https://api.geomagnetism.ga.gov.au/agrf?latd=-26&amp;latm=29&amp;lats=51.83&amp;lond=138&amp;lonm=59&amp;lons=43.19&amp;year=2017&amp;month=04&amp;day=22&amp;elev=0.023&amp;Ein=D&amp;Ein=d</v>
      </c>
    </row>
    <row r="278" spans="1:24" ht="17" x14ac:dyDescent="0.25">
      <c r="A278" s="1" t="s">
        <v>359</v>
      </c>
      <c r="B278" s="1">
        <v>-26.504470000000001</v>
      </c>
      <c r="C278" s="1">
        <v>138.50641999999999</v>
      </c>
      <c r="D278" t="s">
        <v>1023</v>
      </c>
      <c r="E278" t="s">
        <v>1024</v>
      </c>
      <c r="F278" t="str">
        <f t="shared" si="70"/>
        <v>-26° 30' 16.09"</v>
      </c>
      <c r="G278" t="str">
        <f t="shared" si="71"/>
        <v>138° 30' 23.11"</v>
      </c>
      <c r="H278" s="5">
        <f t="shared" si="72"/>
        <v>26</v>
      </c>
      <c r="I278" s="5">
        <f t="shared" si="73"/>
        <v>-26</v>
      </c>
      <c r="J278" s="5">
        <f t="shared" si="74"/>
        <v>30</v>
      </c>
      <c r="K278" s="5">
        <f t="shared" si="75"/>
        <v>16.09</v>
      </c>
      <c r="L278" s="5">
        <f t="shared" si="76"/>
        <v>138</v>
      </c>
      <c r="M278" s="5">
        <f t="shared" si="77"/>
        <v>30</v>
      </c>
      <c r="N278" s="5">
        <f t="shared" si="78"/>
        <v>23.11</v>
      </c>
      <c r="O278" s="1">
        <v>18</v>
      </c>
      <c r="P278">
        <f t="shared" si="68"/>
        <v>1.7999999999999999E-2</v>
      </c>
      <c r="Q278" s="3" t="s">
        <v>413</v>
      </c>
      <c r="R278" t="str">
        <f t="shared" si="69"/>
        <v>20/05/2017</v>
      </c>
      <c r="S278">
        <f t="shared" si="79"/>
        <v>2017</v>
      </c>
      <c r="T278">
        <f t="shared" si="80"/>
        <v>5</v>
      </c>
      <c r="U278" t="str">
        <f t="shared" si="81"/>
        <v>05</v>
      </c>
      <c r="V278">
        <f t="shared" si="82"/>
        <v>20</v>
      </c>
      <c r="W278" t="str">
        <f t="shared" si="83"/>
        <v>20</v>
      </c>
      <c r="X278" t="str">
        <f t="shared" si="84"/>
        <v>https://api.geomagnetism.ga.gov.au/agrf?latd=-26&amp;latm=30&amp;lats=16.09&amp;lond=138&amp;lonm=30&amp;lons=23.11&amp;year=2017&amp;month=05&amp;day=20&amp;elev=0.018&amp;Ein=D&amp;Ein=d</v>
      </c>
    </row>
    <row r="279" spans="1:24" ht="17" x14ac:dyDescent="0.25">
      <c r="A279" s="1" t="s">
        <v>360</v>
      </c>
      <c r="B279" s="1">
        <v>-26.50451</v>
      </c>
      <c r="C279" s="1">
        <v>138.50638000000001</v>
      </c>
      <c r="D279" t="s">
        <v>1025</v>
      </c>
      <c r="E279" t="s">
        <v>1026</v>
      </c>
      <c r="F279" t="str">
        <f t="shared" si="70"/>
        <v>-26° 30' 16.24"</v>
      </c>
      <c r="G279" t="str">
        <f t="shared" si="71"/>
        <v>138° 30' 22.97"</v>
      </c>
      <c r="H279" s="5">
        <f t="shared" si="72"/>
        <v>26</v>
      </c>
      <c r="I279" s="5">
        <f t="shared" si="73"/>
        <v>-26</v>
      </c>
      <c r="J279" s="5">
        <f t="shared" si="74"/>
        <v>30</v>
      </c>
      <c r="K279" s="5">
        <f t="shared" si="75"/>
        <v>16.239999999999998</v>
      </c>
      <c r="L279" s="5">
        <f t="shared" si="76"/>
        <v>138</v>
      </c>
      <c r="M279" s="5">
        <f t="shared" si="77"/>
        <v>30</v>
      </c>
      <c r="N279" s="5">
        <f t="shared" si="78"/>
        <v>22.97</v>
      </c>
      <c r="O279" s="1">
        <v>18</v>
      </c>
      <c r="P279">
        <f t="shared" si="68"/>
        <v>1.7999999999999999E-2</v>
      </c>
      <c r="Q279" s="3" t="s">
        <v>414</v>
      </c>
      <c r="R279" t="str">
        <f t="shared" si="69"/>
        <v>20/06/2017</v>
      </c>
      <c r="S279">
        <f t="shared" si="79"/>
        <v>2017</v>
      </c>
      <c r="T279">
        <f t="shared" si="80"/>
        <v>6</v>
      </c>
      <c r="U279" t="str">
        <f t="shared" si="81"/>
        <v>06</v>
      </c>
      <c r="V279">
        <f t="shared" si="82"/>
        <v>20</v>
      </c>
      <c r="W279" t="str">
        <f t="shared" si="83"/>
        <v>20</v>
      </c>
      <c r="X279" t="str">
        <f t="shared" si="84"/>
        <v>https://api.geomagnetism.ga.gov.au/agrf?latd=-26&amp;latm=30&amp;lats=16.24&amp;lond=138&amp;lonm=30&amp;lons=22.97&amp;year=2017&amp;month=06&amp;day=20&amp;elev=0.018&amp;Ein=D&amp;Ein=d</v>
      </c>
    </row>
    <row r="280" spans="1:24" ht="17" x14ac:dyDescent="0.25">
      <c r="A280" s="1" t="s">
        <v>361</v>
      </c>
      <c r="B280" s="1">
        <v>-26.504169999999998</v>
      </c>
      <c r="C280" s="1">
        <v>138.50641999999999</v>
      </c>
      <c r="D280" t="s">
        <v>1027</v>
      </c>
      <c r="E280" t="s">
        <v>1024</v>
      </c>
      <c r="F280" t="str">
        <f t="shared" si="70"/>
        <v>-26° 30' 15.01"</v>
      </c>
      <c r="G280" t="str">
        <f t="shared" si="71"/>
        <v>138° 30' 23.11"</v>
      </c>
      <c r="H280" s="5">
        <f t="shared" si="72"/>
        <v>26</v>
      </c>
      <c r="I280" s="5">
        <f t="shared" si="73"/>
        <v>-26</v>
      </c>
      <c r="J280" s="5">
        <f t="shared" si="74"/>
        <v>30</v>
      </c>
      <c r="K280" s="5">
        <f t="shared" si="75"/>
        <v>15.01</v>
      </c>
      <c r="L280" s="5">
        <f t="shared" si="76"/>
        <v>138</v>
      </c>
      <c r="M280" s="5">
        <f t="shared" si="77"/>
        <v>30</v>
      </c>
      <c r="N280" s="5">
        <f t="shared" si="78"/>
        <v>23.11</v>
      </c>
      <c r="O280" s="1">
        <v>18</v>
      </c>
      <c r="P280">
        <f t="shared" si="68"/>
        <v>1.7999999999999999E-2</v>
      </c>
      <c r="Q280" s="3" t="s">
        <v>407</v>
      </c>
      <c r="R280" t="str">
        <f t="shared" si="69"/>
        <v>19/06/2017</v>
      </c>
      <c r="S280">
        <f t="shared" si="79"/>
        <v>2017</v>
      </c>
      <c r="T280">
        <f t="shared" si="80"/>
        <v>6</v>
      </c>
      <c r="U280" t="str">
        <f t="shared" si="81"/>
        <v>06</v>
      </c>
      <c r="V280">
        <f t="shared" si="82"/>
        <v>19</v>
      </c>
      <c r="W280" t="str">
        <f t="shared" si="83"/>
        <v>19</v>
      </c>
      <c r="X280" t="str">
        <f t="shared" si="84"/>
        <v>https://api.geomagnetism.ga.gov.au/agrf?latd=-26&amp;latm=30&amp;lats=15.01&amp;lond=138&amp;lonm=30&amp;lons=23.11&amp;year=2017&amp;month=06&amp;day=19&amp;elev=0.018&amp;Ein=D&amp;Ein=d</v>
      </c>
    </row>
    <row r="281" spans="1:24" ht="17" x14ac:dyDescent="0.25">
      <c r="A281" s="1" t="s">
        <v>362</v>
      </c>
      <c r="B281" s="1">
        <v>-26.49765</v>
      </c>
      <c r="C281" s="1">
        <v>138.00009</v>
      </c>
      <c r="D281" t="s">
        <v>1028</v>
      </c>
      <c r="E281" t="s">
        <v>1029</v>
      </c>
      <c r="F281" t="str">
        <f t="shared" si="70"/>
        <v>-26° 29' 51.54"</v>
      </c>
      <c r="G281" t="str">
        <f t="shared" si="71"/>
        <v>138° 0' 0.32"</v>
      </c>
      <c r="H281" s="5">
        <f t="shared" si="72"/>
        <v>26</v>
      </c>
      <c r="I281" s="5">
        <f t="shared" si="73"/>
        <v>-26</v>
      </c>
      <c r="J281" s="5">
        <f t="shared" si="74"/>
        <v>29</v>
      </c>
      <c r="K281" s="5">
        <f t="shared" si="75"/>
        <v>51.54</v>
      </c>
      <c r="L281" s="5">
        <f t="shared" si="76"/>
        <v>138</v>
      </c>
      <c r="M281" s="5">
        <f t="shared" si="77"/>
        <v>0</v>
      </c>
      <c r="N281" s="5">
        <f t="shared" si="78"/>
        <v>0.32</v>
      </c>
      <c r="O281" s="1">
        <v>22</v>
      </c>
      <c r="P281">
        <f t="shared" si="68"/>
        <v>2.1999999999999999E-2</v>
      </c>
      <c r="Q281" s="3" t="s">
        <v>415</v>
      </c>
      <c r="R281" t="str">
        <f t="shared" si="69"/>
        <v>19/05/2017</v>
      </c>
      <c r="S281">
        <f t="shared" si="79"/>
        <v>2017</v>
      </c>
      <c r="T281">
        <f t="shared" si="80"/>
        <v>5</v>
      </c>
      <c r="U281" t="str">
        <f t="shared" si="81"/>
        <v>05</v>
      </c>
      <c r="V281">
        <f t="shared" si="82"/>
        <v>19</v>
      </c>
      <c r="W281" t="str">
        <f t="shared" si="83"/>
        <v>19</v>
      </c>
      <c r="X281" t="str">
        <f t="shared" si="84"/>
        <v>https://api.geomagnetism.ga.gov.au/agrf?latd=-26&amp;latm=29&amp;lats=51.54&amp;lond=138&amp;lonm=0&amp;lons=0.32&amp;year=2017&amp;month=05&amp;day=19&amp;elev=0.022&amp;Ein=D&amp;Ein=d</v>
      </c>
    </row>
    <row r="282" spans="1:24" ht="17" x14ac:dyDescent="0.25">
      <c r="A282" s="1" t="s">
        <v>363</v>
      </c>
      <c r="B282" s="1">
        <v>-26.488340000000001</v>
      </c>
      <c r="C282" s="1">
        <v>137.52249</v>
      </c>
      <c r="D282" t="s">
        <v>1030</v>
      </c>
      <c r="E282" t="s">
        <v>1031</v>
      </c>
      <c r="F282" t="str">
        <f t="shared" si="70"/>
        <v>-26° 29' 18.02"</v>
      </c>
      <c r="G282" t="str">
        <f t="shared" si="71"/>
        <v>137° 31' 20.96"</v>
      </c>
      <c r="H282" s="5">
        <f t="shared" si="72"/>
        <v>26</v>
      </c>
      <c r="I282" s="5">
        <f t="shared" si="73"/>
        <v>-26</v>
      </c>
      <c r="J282" s="5">
        <f t="shared" si="74"/>
        <v>29</v>
      </c>
      <c r="K282" s="5">
        <f t="shared" si="75"/>
        <v>18.02</v>
      </c>
      <c r="L282" s="5">
        <f t="shared" si="76"/>
        <v>137</v>
      </c>
      <c r="M282" s="5">
        <f t="shared" si="77"/>
        <v>31</v>
      </c>
      <c r="N282" s="5">
        <f t="shared" si="78"/>
        <v>20.96</v>
      </c>
      <c r="O282" s="1">
        <v>13</v>
      </c>
      <c r="P282">
        <f t="shared" si="68"/>
        <v>1.2999999999999999E-2</v>
      </c>
      <c r="Q282" s="3" t="s">
        <v>407</v>
      </c>
      <c r="R282" t="str">
        <f t="shared" si="69"/>
        <v>19/06/2017</v>
      </c>
      <c r="S282">
        <f t="shared" si="79"/>
        <v>2017</v>
      </c>
      <c r="T282">
        <f t="shared" si="80"/>
        <v>6</v>
      </c>
      <c r="U282" t="str">
        <f t="shared" si="81"/>
        <v>06</v>
      </c>
      <c r="V282">
        <f t="shared" si="82"/>
        <v>19</v>
      </c>
      <c r="W282" t="str">
        <f t="shared" si="83"/>
        <v>19</v>
      </c>
      <c r="X282" t="str">
        <f t="shared" si="84"/>
        <v>https://api.geomagnetism.ga.gov.au/agrf?latd=-26&amp;latm=29&amp;lats=18.02&amp;lond=137&amp;lonm=31&amp;lons=20.96&amp;year=2017&amp;month=06&amp;day=19&amp;elev=0.013&amp;Ein=D&amp;Ein=d</v>
      </c>
    </row>
    <row r="283" spans="1:24" ht="17" x14ac:dyDescent="0.25">
      <c r="A283" s="1" t="s">
        <v>364</v>
      </c>
      <c r="B283" s="1">
        <v>-26.48818</v>
      </c>
      <c r="C283" s="1">
        <v>137.52247</v>
      </c>
      <c r="D283" t="s">
        <v>1032</v>
      </c>
      <c r="E283" t="s">
        <v>1033</v>
      </c>
      <c r="F283" t="str">
        <f t="shared" si="70"/>
        <v>-26° 29' 17.45"</v>
      </c>
      <c r="G283" t="str">
        <f t="shared" si="71"/>
        <v>137° 31' 20.89"</v>
      </c>
      <c r="H283" s="5">
        <f t="shared" si="72"/>
        <v>26</v>
      </c>
      <c r="I283" s="5">
        <f t="shared" si="73"/>
        <v>-26</v>
      </c>
      <c r="J283" s="5">
        <f t="shared" si="74"/>
        <v>29</v>
      </c>
      <c r="K283" s="5">
        <f t="shared" si="75"/>
        <v>17.45</v>
      </c>
      <c r="L283" s="5">
        <f t="shared" si="76"/>
        <v>137</v>
      </c>
      <c r="M283" s="5">
        <f t="shared" si="77"/>
        <v>31</v>
      </c>
      <c r="N283" s="5">
        <f t="shared" si="78"/>
        <v>20.89</v>
      </c>
      <c r="O283" s="1">
        <v>13</v>
      </c>
      <c r="P283">
        <f t="shared" si="68"/>
        <v>1.2999999999999999E-2</v>
      </c>
      <c r="Q283" s="3" t="s">
        <v>414</v>
      </c>
      <c r="R283" t="str">
        <f t="shared" si="69"/>
        <v>20/06/2017</v>
      </c>
      <c r="S283">
        <f t="shared" si="79"/>
        <v>2017</v>
      </c>
      <c r="T283">
        <f t="shared" si="80"/>
        <v>6</v>
      </c>
      <c r="U283" t="str">
        <f t="shared" si="81"/>
        <v>06</v>
      </c>
      <c r="V283">
        <f t="shared" si="82"/>
        <v>20</v>
      </c>
      <c r="W283" t="str">
        <f t="shared" si="83"/>
        <v>20</v>
      </c>
      <c r="X283" t="str">
        <f t="shared" si="84"/>
        <v>https://api.geomagnetism.ga.gov.au/agrf?latd=-26&amp;latm=29&amp;lats=17.45&amp;lond=137&amp;lonm=31&amp;lons=20.89&amp;year=2017&amp;month=06&amp;day=20&amp;elev=0.013&amp;Ein=D&amp;Ein=d</v>
      </c>
    </row>
    <row r="284" spans="1:24" ht="17" x14ac:dyDescent="0.25">
      <c r="A284" s="1" t="s">
        <v>365</v>
      </c>
      <c r="B284" s="1">
        <v>-26.49268</v>
      </c>
      <c r="C284" s="1">
        <v>137.00523000000001</v>
      </c>
      <c r="D284" t="s">
        <v>1034</v>
      </c>
      <c r="E284" t="s">
        <v>1035</v>
      </c>
      <c r="F284" t="str">
        <f t="shared" si="70"/>
        <v>-26° 29' 33.65"</v>
      </c>
      <c r="G284" t="str">
        <f t="shared" si="71"/>
        <v>137° 0' 18.83"</v>
      </c>
      <c r="H284" s="5">
        <f t="shared" si="72"/>
        <v>26</v>
      </c>
      <c r="I284" s="5">
        <f t="shared" si="73"/>
        <v>-26</v>
      </c>
      <c r="J284" s="5">
        <f t="shared" si="74"/>
        <v>29</v>
      </c>
      <c r="K284" s="5">
        <f t="shared" si="75"/>
        <v>33.65</v>
      </c>
      <c r="L284" s="5">
        <f t="shared" si="76"/>
        <v>137</v>
      </c>
      <c r="M284" s="5">
        <f t="shared" si="77"/>
        <v>0</v>
      </c>
      <c r="N284" s="5">
        <f t="shared" si="78"/>
        <v>18.829999999999998</v>
      </c>
      <c r="O284" s="1">
        <v>39</v>
      </c>
      <c r="P284">
        <f t="shared" si="68"/>
        <v>3.9E-2</v>
      </c>
      <c r="Q284" s="3" t="s">
        <v>413</v>
      </c>
      <c r="R284" t="str">
        <f t="shared" si="69"/>
        <v>20/05/2017</v>
      </c>
      <c r="S284">
        <f t="shared" si="79"/>
        <v>2017</v>
      </c>
      <c r="T284">
        <f t="shared" si="80"/>
        <v>5</v>
      </c>
      <c r="U284" t="str">
        <f t="shared" si="81"/>
        <v>05</v>
      </c>
      <c r="V284">
        <f t="shared" si="82"/>
        <v>20</v>
      </c>
      <c r="W284" t="str">
        <f t="shared" si="83"/>
        <v>20</v>
      </c>
      <c r="X284" t="str">
        <f t="shared" si="84"/>
        <v>https://api.geomagnetism.ga.gov.au/agrf?latd=-26&amp;latm=29&amp;lats=33.65&amp;lond=137&amp;lonm=0&amp;lons=18.83&amp;year=2017&amp;month=05&amp;day=20&amp;elev=0.039&amp;Ein=D&amp;Ein=d</v>
      </c>
    </row>
    <row r="285" spans="1:24" ht="17" x14ac:dyDescent="0.25">
      <c r="A285" s="1" t="s">
        <v>366</v>
      </c>
      <c r="B285" s="1">
        <v>-26.504429999999999</v>
      </c>
      <c r="C285" s="1">
        <v>136.50121999999999</v>
      </c>
      <c r="D285" t="s">
        <v>1036</v>
      </c>
      <c r="E285" t="s">
        <v>1037</v>
      </c>
      <c r="F285" t="str">
        <f t="shared" si="70"/>
        <v>-26° 30' 15.95"</v>
      </c>
      <c r="G285" t="str">
        <f t="shared" si="71"/>
        <v>136° 30' 4.39"</v>
      </c>
      <c r="H285" s="5">
        <f t="shared" si="72"/>
        <v>26</v>
      </c>
      <c r="I285" s="5">
        <f t="shared" si="73"/>
        <v>-26</v>
      </c>
      <c r="J285" s="5">
        <f t="shared" si="74"/>
        <v>30</v>
      </c>
      <c r="K285" s="5">
        <f t="shared" si="75"/>
        <v>15.95</v>
      </c>
      <c r="L285" s="5">
        <f t="shared" si="76"/>
        <v>136</v>
      </c>
      <c r="M285" s="5">
        <f t="shared" si="77"/>
        <v>30</v>
      </c>
      <c r="N285" s="5">
        <f t="shared" si="78"/>
        <v>4.3899999999999997</v>
      </c>
      <c r="O285" s="1">
        <v>53</v>
      </c>
      <c r="P285">
        <f t="shared" si="68"/>
        <v>5.2999999999999999E-2</v>
      </c>
      <c r="Q285" s="3" t="s">
        <v>416</v>
      </c>
      <c r="R285" t="str">
        <f t="shared" si="69"/>
        <v>13/05/2017</v>
      </c>
      <c r="S285">
        <f t="shared" si="79"/>
        <v>2017</v>
      </c>
      <c r="T285">
        <f t="shared" si="80"/>
        <v>5</v>
      </c>
      <c r="U285" t="str">
        <f t="shared" si="81"/>
        <v>05</v>
      </c>
      <c r="V285">
        <f t="shared" si="82"/>
        <v>13</v>
      </c>
      <c r="W285" t="str">
        <f t="shared" si="83"/>
        <v>13</v>
      </c>
      <c r="X285" t="str">
        <f t="shared" si="84"/>
        <v>https://api.geomagnetism.ga.gov.au/agrf?latd=-26&amp;latm=30&amp;lats=15.95&amp;lond=136&amp;lonm=30&amp;lons=4.39&amp;year=2017&amp;month=05&amp;day=13&amp;elev=0.053&amp;Ein=D&amp;Ein=d</v>
      </c>
    </row>
    <row r="286" spans="1:24" ht="17" x14ac:dyDescent="0.25">
      <c r="A286" s="1" t="s">
        <v>367</v>
      </c>
      <c r="B286" s="1">
        <v>-28.994879999999998</v>
      </c>
      <c r="C286" s="1">
        <v>140.99526</v>
      </c>
      <c r="D286" t="s">
        <v>888</v>
      </c>
      <c r="E286" t="s">
        <v>889</v>
      </c>
      <c r="F286" t="str">
        <f t="shared" si="70"/>
        <v>-28° 59' 41.57"</v>
      </c>
      <c r="G286" t="str">
        <f t="shared" si="71"/>
        <v>140° 59' 42.94"</v>
      </c>
      <c r="H286" s="5">
        <f t="shared" si="72"/>
        <v>28</v>
      </c>
      <c r="I286" s="5">
        <f t="shared" si="73"/>
        <v>-28</v>
      </c>
      <c r="J286" s="5">
        <f t="shared" si="74"/>
        <v>59</v>
      </c>
      <c r="K286" s="5">
        <f t="shared" si="75"/>
        <v>41.57</v>
      </c>
      <c r="L286" s="5">
        <f t="shared" si="76"/>
        <v>140</v>
      </c>
      <c r="M286" s="5">
        <f t="shared" si="77"/>
        <v>59</v>
      </c>
      <c r="N286" s="5">
        <f t="shared" si="78"/>
        <v>42.94</v>
      </c>
      <c r="O286" s="1">
        <v>77</v>
      </c>
      <c r="P286">
        <f t="shared" si="68"/>
        <v>7.6999999999999999E-2</v>
      </c>
      <c r="Q286" s="3" t="s">
        <v>417</v>
      </c>
      <c r="R286" t="str">
        <f t="shared" si="69"/>
        <v>22/05/2017</v>
      </c>
      <c r="S286">
        <f t="shared" si="79"/>
        <v>2017</v>
      </c>
      <c r="T286">
        <f t="shared" si="80"/>
        <v>5</v>
      </c>
      <c r="U286" t="str">
        <f t="shared" si="81"/>
        <v>05</v>
      </c>
      <c r="V286">
        <f t="shared" si="82"/>
        <v>22</v>
      </c>
      <c r="W286" t="str">
        <f t="shared" si="83"/>
        <v>22</v>
      </c>
      <c r="X286" t="str">
        <f t="shared" si="84"/>
        <v>https://api.geomagnetism.ga.gov.au/agrf?latd=-28&amp;latm=59&amp;lats=41.57&amp;lond=140&amp;lonm=59&amp;lons=42.94&amp;year=2017&amp;month=05&amp;day=22&amp;elev=0.077&amp;Ein=D&amp;Ein=d</v>
      </c>
    </row>
    <row r="287" spans="1:24" ht="17" x14ac:dyDescent="0.25">
      <c r="A287" s="1" t="s">
        <v>368</v>
      </c>
      <c r="B287" s="1">
        <v>-28.980309999999999</v>
      </c>
      <c r="C287" s="1">
        <v>140.50457</v>
      </c>
      <c r="D287" t="s">
        <v>890</v>
      </c>
      <c r="E287" t="s">
        <v>891</v>
      </c>
      <c r="F287" t="str">
        <f t="shared" si="70"/>
        <v>-28° 58' 49.12"</v>
      </c>
      <c r="G287" t="str">
        <f t="shared" si="71"/>
        <v>140° 30' 16.45"</v>
      </c>
      <c r="H287" s="5">
        <f t="shared" si="72"/>
        <v>28</v>
      </c>
      <c r="I287" s="5">
        <f t="shared" si="73"/>
        <v>-28</v>
      </c>
      <c r="J287" s="5">
        <f t="shared" si="74"/>
        <v>58</v>
      </c>
      <c r="K287" s="5">
        <f t="shared" si="75"/>
        <v>49.12</v>
      </c>
      <c r="L287" s="5">
        <f t="shared" si="76"/>
        <v>140</v>
      </c>
      <c r="M287" s="5">
        <f t="shared" si="77"/>
        <v>30</v>
      </c>
      <c r="N287" s="5">
        <f t="shared" si="78"/>
        <v>16.45</v>
      </c>
      <c r="O287" s="1">
        <v>0</v>
      </c>
      <c r="P287">
        <f t="shared" si="68"/>
        <v>0</v>
      </c>
      <c r="Q287" s="3" t="s">
        <v>417</v>
      </c>
      <c r="R287" t="str">
        <f t="shared" si="69"/>
        <v>22/05/2017</v>
      </c>
      <c r="S287">
        <f t="shared" si="79"/>
        <v>2017</v>
      </c>
      <c r="T287">
        <f t="shared" si="80"/>
        <v>5</v>
      </c>
      <c r="U287" t="str">
        <f t="shared" si="81"/>
        <v>05</v>
      </c>
      <c r="V287">
        <f t="shared" si="82"/>
        <v>22</v>
      </c>
      <c r="W287" t="str">
        <f t="shared" si="83"/>
        <v>22</v>
      </c>
      <c r="X287" t="str">
        <f t="shared" si="84"/>
        <v>https://api.geomagnetism.ga.gov.au/agrf?latd=-28&amp;latm=58&amp;lats=49.12&amp;lond=140&amp;lonm=30&amp;lons=16.45&amp;year=2017&amp;month=05&amp;day=22&amp;elev=0&amp;Ein=D&amp;Ein=d</v>
      </c>
    </row>
    <row r="288" spans="1:24" ht="17" x14ac:dyDescent="0.25">
      <c r="A288" s="1" t="s">
        <v>369</v>
      </c>
      <c r="B288" s="1">
        <v>-28.98029</v>
      </c>
      <c r="C288" s="1">
        <v>140.50456</v>
      </c>
      <c r="D288" t="s">
        <v>892</v>
      </c>
      <c r="E288" t="s">
        <v>893</v>
      </c>
      <c r="F288" t="str">
        <f t="shared" si="70"/>
        <v>-28° 58' 49.04"</v>
      </c>
      <c r="G288" t="str">
        <f t="shared" si="71"/>
        <v>140° 30' 16.42"</v>
      </c>
      <c r="H288" s="5">
        <f t="shared" si="72"/>
        <v>28</v>
      </c>
      <c r="I288" s="5">
        <f t="shared" si="73"/>
        <v>-28</v>
      </c>
      <c r="J288" s="5">
        <f t="shared" si="74"/>
        <v>58</v>
      </c>
      <c r="K288" s="5">
        <f t="shared" si="75"/>
        <v>49.04</v>
      </c>
      <c r="L288" s="5">
        <f t="shared" si="76"/>
        <v>140</v>
      </c>
      <c r="M288" s="5">
        <f t="shared" si="77"/>
        <v>30</v>
      </c>
      <c r="N288" s="5">
        <f t="shared" si="78"/>
        <v>16.420000000000002</v>
      </c>
      <c r="O288" s="1">
        <v>207</v>
      </c>
      <c r="P288">
        <f t="shared" si="68"/>
        <v>0.20699999999999999</v>
      </c>
      <c r="Q288" s="3" t="s">
        <v>410</v>
      </c>
      <c r="R288" t="str">
        <f t="shared" si="69"/>
        <v>17/11/2016</v>
      </c>
      <c r="S288">
        <f t="shared" si="79"/>
        <v>2016</v>
      </c>
      <c r="T288">
        <f t="shared" si="80"/>
        <v>11</v>
      </c>
      <c r="U288" t="str">
        <f t="shared" si="81"/>
        <v>11</v>
      </c>
      <c r="V288">
        <f t="shared" si="82"/>
        <v>17</v>
      </c>
      <c r="W288" t="str">
        <f t="shared" si="83"/>
        <v>17</v>
      </c>
      <c r="X288" t="str">
        <f t="shared" si="84"/>
        <v>https://api.geomagnetism.ga.gov.au/agrf?latd=-28&amp;latm=58&amp;lats=49.04&amp;lond=140&amp;lonm=30&amp;lons=16.42&amp;year=2016&amp;month=11&amp;day=17&amp;elev=0.207&amp;Ein=D&amp;Ein=d</v>
      </c>
    </row>
    <row r="289" spans="1:24" ht="17" x14ac:dyDescent="0.25">
      <c r="A289" s="1" t="s">
        <v>459</v>
      </c>
      <c r="B289" s="1">
        <v>-28.990580000000001</v>
      </c>
      <c r="C289" s="1">
        <v>140.0147</v>
      </c>
      <c r="D289" t="s">
        <v>894</v>
      </c>
      <c r="E289" t="s">
        <v>895</v>
      </c>
      <c r="F289" t="str">
        <f t="shared" si="70"/>
        <v>-28° 59' 26.09"</v>
      </c>
      <c r="G289" t="str">
        <f t="shared" si="71"/>
        <v>140° 0' 52.92"</v>
      </c>
      <c r="H289" s="5">
        <f t="shared" si="72"/>
        <v>28</v>
      </c>
      <c r="I289" s="5">
        <f t="shared" si="73"/>
        <v>-28</v>
      </c>
      <c r="J289" s="5">
        <f t="shared" si="74"/>
        <v>59</v>
      </c>
      <c r="K289" s="5">
        <f t="shared" si="75"/>
        <v>26.09</v>
      </c>
      <c r="L289" s="5">
        <f t="shared" si="76"/>
        <v>140</v>
      </c>
      <c r="M289" s="5">
        <f t="shared" si="77"/>
        <v>0</v>
      </c>
      <c r="N289" s="5">
        <f t="shared" si="78"/>
        <v>52.92</v>
      </c>
      <c r="O289" s="1">
        <v>271</v>
      </c>
      <c r="P289">
        <f t="shared" si="68"/>
        <v>0.27100000000000002</v>
      </c>
      <c r="Q289" s="3" t="s">
        <v>418</v>
      </c>
      <c r="R289" t="str">
        <f t="shared" si="69"/>
        <v>25/09/2016</v>
      </c>
      <c r="S289">
        <f t="shared" si="79"/>
        <v>2016</v>
      </c>
      <c r="T289">
        <f t="shared" si="80"/>
        <v>9</v>
      </c>
      <c r="U289" t="str">
        <f t="shared" si="81"/>
        <v>09</v>
      </c>
      <c r="V289">
        <f t="shared" si="82"/>
        <v>25</v>
      </c>
      <c r="W289" t="str">
        <f t="shared" si="83"/>
        <v>25</v>
      </c>
      <c r="X289" t="str">
        <f t="shared" si="84"/>
        <v>https://api.geomagnetism.ga.gov.au/agrf?latd=-28&amp;latm=59&amp;lats=26.09&amp;lond=140&amp;lonm=0&amp;lons=52.92&amp;year=2016&amp;month=09&amp;day=25&amp;elev=0.271&amp;Ein=D&amp;Ein=d</v>
      </c>
    </row>
    <row r="290" spans="1:24" ht="17" x14ac:dyDescent="0.25">
      <c r="A290" s="1" t="s">
        <v>370</v>
      </c>
      <c r="B290" s="1">
        <v>-28.998360000000002</v>
      </c>
      <c r="C290" s="1">
        <v>139.49950000000001</v>
      </c>
      <c r="D290" t="s">
        <v>896</v>
      </c>
      <c r="E290" t="s">
        <v>897</v>
      </c>
      <c r="F290" t="str">
        <f t="shared" si="70"/>
        <v>-28° 59' 54.10"</v>
      </c>
      <c r="G290" t="str">
        <f t="shared" si="71"/>
        <v>139° 29' 58.20"</v>
      </c>
      <c r="H290" s="5">
        <f t="shared" si="72"/>
        <v>28</v>
      </c>
      <c r="I290" s="5">
        <f t="shared" si="73"/>
        <v>-28</v>
      </c>
      <c r="J290" s="5">
        <f t="shared" si="74"/>
        <v>59</v>
      </c>
      <c r="K290" s="5">
        <f t="shared" si="75"/>
        <v>54.1</v>
      </c>
      <c r="L290" s="5">
        <f t="shared" si="76"/>
        <v>139</v>
      </c>
      <c r="M290" s="5">
        <f t="shared" si="77"/>
        <v>29</v>
      </c>
      <c r="N290" s="5">
        <f t="shared" si="78"/>
        <v>58.2</v>
      </c>
      <c r="O290" s="1">
        <v>328</v>
      </c>
      <c r="P290">
        <f t="shared" si="68"/>
        <v>0.32800000000000001</v>
      </c>
      <c r="Q290" s="3" t="s">
        <v>419</v>
      </c>
      <c r="R290" t="str">
        <f t="shared" si="69"/>
        <v>19/11/2016</v>
      </c>
      <c r="S290">
        <f t="shared" si="79"/>
        <v>2016</v>
      </c>
      <c r="T290">
        <f t="shared" si="80"/>
        <v>11</v>
      </c>
      <c r="U290" t="str">
        <f t="shared" si="81"/>
        <v>11</v>
      </c>
      <c r="V290">
        <f t="shared" si="82"/>
        <v>19</v>
      </c>
      <c r="W290" t="str">
        <f t="shared" si="83"/>
        <v>19</v>
      </c>
      <c r="X290" t="str">
        <f t="shared" si="84"/>
        <v>https://api.geomagnetism.ga.gov.au/agrf?latd=-28&amp;latm=59&amp;lats=54.1&amp;lond=139&amp;lonm=29&amp;lons=58.2&amp;year=2016&amp;month=11&amp;day=19&amp;elev=0.328&amp;Ein=D&amp;Ein=d</v>
      </c>
    </row>
    <row r="291" spans="1:24" ht="17" x14ac:dyDescent="0.25">
      <c r="A291" s="1" t="s">
        <v>371</v>
      </c>
      <c r="B291" s="1">
        <v>-28.998360000000002</v>
      </c>
      <c r="C291" s="1">
        <v>139.49950000000001</v>
      </c>
      <c r="D291" t="s">
        <v>896</v>
      </c>
      <c r="E291" t="s">
        <v>897</v>
      </c>
      <c r="F291" t="str">
        <f t="shared" si="70"/>
        <v>-28° 59' 54.10"</v>
      </c>
      <c r="G291" t="str">
        <f t="shared" si="71"/>
        <v>139° 29' 58.20"</v>
      </c>
      <c r="H291" s="5">
        <f t="shared" si="72"/>
        <v>28</v>
      </c>
      <c r="I291" s="5">
        <f t="shared" si="73"/>
        <v>-28</v>
      </c>
      <c r="J291" s="5">
        <f t="shared" si="74"/>
        <v>59</v>
      </c>
      <c r="K291" s="5">
        <f t="shared" si="75"/>
        <v>54.1</v>
      </c>
      <c r="L291" s="5">
        <f t="shared" si="76"/>
        <v>139</v>
      </c>
      <c r="M291" s="5">
        <f t="shared" si="77"/>
        <v>29</v>
      </c>
      <c r="N291" s="5">
        <f t="shared" si="78"/>
        <v>58.2</v>
      </c>
      <c r="O291" s="1">
        <v>93</v>
      </c>
      <c r="P291">
        <f t="shared" si="68"/>
        <v>9.2999999999999999E-2</v>
      </c>
      <c r="Q291" s="3" t="s">
        <v>412</v>
      </c>
      <c r="R291" t="str">
        <f t="shared" si="69"/>
        <v>18/03/2017</v>
      </c>
      <c r="S291">
        <f t="shared" si="79"/>
        <v>2017</v>
      </c>
      <c r="T291">
        <f t="shared" si="80"/>
        <v>3</v>
      </c>
      <c r="U291" t="str">
        <f t="shared" si="81"/>
        <v>03</v>
      </c>
      <c r="V291">
        <f t="shared" si="82"/>
        <v>18</v>
      </c>
      <c r="W291" t="str">
        <f t="shared" si="83"/>
        <v>18</v>
      </c>
      <c r="X291" t="str">
        <f t="shared" si="84"/>
        <v>https://api.geomagnetism.ga.gov.au/agrf?latd=-28&amp;latm=59&amp;lats=54.1&amp;lond=139&amp;lonm=29&amp;lons=58.2&amp;year=2017&amp;month=03&amp;day=18&amp;elev=0.093&amp;Ein=D&amp;Ein=d</v>
      </c>
    </row>
    <row r="292" spans="1:24" ht="17" x14ac:dyDescent="0.25">
      <c r="A292" s="1" t="s">
        <v>372</v>
      </c>
      <c r="B292" s="1">
        <v>-28.999369999999999</v>
      </c>
      <c r="C292" s="1">
        <v>138.98559</v>
      </c>
      <c r="D292" t="s">
        <v>898</v>
      </c>
      <c r="E292" t="s">
        <v>899</v>
      </c>
      <c r="F292" t="str">
        <f t="shared" si="70"/>
        <v>-28° 59' 57.73"</v>
      </c>
      <c r="G292" t="str">
        <f t="shared" si="71"/>
        <v>138° 59' 8.12"</v>
      </c>
      <c r="H292" s="5">
        <f t="shared" si="72"/>
        <v>28</v>
      </c>
      <c r="I292" s="5">
        <f t="shared" si="73"/>
        <v>-28</v>
      </c>
      <c r="J292" s="5">
        <f t="shared" si="74"/>
        <v>59</v>
      </c>
      <c r="K292" s="5">
        <f t="shared" si="75"/>
        <v>57.73</v>
      </c>
      <c r="L292" s="5">
        <f t="shared" si="76"/>
        <v>138</v>
      </c>
      <c r="M292" s="5">
        <f t="shared" si="77"/>
        <v>59</v>
      </c>
      <c r="N292" s="5">
        <f t="shared" si="78"/>
        <v>8.1199999999999992</v>
      </c>
      <c r="O292" s="1">
        <v>86</v>
      </c>
      <c r="P292">
        <f t="shared" si="68"/>
        <v>8.5999999999999993E-2</v>
      </c>
      <c r="Q292" s="3" t="s">
        <v>412</v>
      </c>
      <c r="R292" t="str">
        <f t="shared" si="69"/>
        <v>18/03/2017</v>
      </c>
      <c r="S292">
        <f t="shared" si="79"/>
        <v>2017</v>
      </c>
      <c r="T292">
        <f t="shared" si="80"/>
        <v>3</v>
      </c>
      <c r="U292" t="str">
        <f t="shared" si="81"/>
        <v>03</v>
      </c>
      <c r="V292">
        <f t="shared" si="82"/>
        <v>18</v>
      </c>
      <c r="W292" t="str">
        <f t="shared" si="83"/>
        <v>18</v>
      </c>
      <c r="X292" t="str">
        <f t="shared" si="84"/>
        <v>https://api.geomagnetism.ga.gov.au/agrf?latd=-28&amp;latm=59&amp;lats=57.73&amp;lond=138&amp;lonm=59&amp;lons=8.12&amp;year=2017&amp;month=03&amp;day=18&amp;elev=0.086&amp;Ein=D&amp;Ein=d</v>
      </c>
    </row>
    <row r="293" spans="1:24" ht="17" x14ac:dyDescent="0.25">
      <c r="A293" s="1" t="s">
        <v>373</v>
      </c>
      <c r="B293" s="1">
        <v>-29.011430000000001</v>
      </c>
      <c r="C293" s="1">
        <v>138.46412000000001</v>
      </c>
      <c r="D293" t="s">
        <v>900</v>
      </c>
      <c r="E293" t="s">
        <v>901</v>
      </c>
      <c r="F293" t="str">
        <f t="shared" si="70"/>
        <v>-29° 0' 41.15"</v>
      </c>
      <c r="G293" t="str">
        <f t="shared" si="71"/>
        <v>138° 27' 50.83"</v>
      </c>
      <c r="H293" s="5">
        <f t="shared" si="72"/>
        <v>29</v>
      </c>
      <c r="I293" s="5">
        <f t="shared" si="73"/>
        <v>-29</v>
      </c>
      <c r="J293" s="5">
        <f t="shared" si="74"/>
        <v>0</v>
      </c>
      <c r="K293" s="5">
        <f t="shared" si="75"/>
        <v>41.15</v>
      </c>
      <c r="L293" s="5">
        <f t="shared" si="76"/>
        <v>138</v>
      </c>
      <c r="M293" s="5">
        <f t="shared" si="77"/>
        <v>27</v>
      </c>
      <c r="N293" s="5">
        <f t="shared" si="78"/>
        <v>50.83</v>
      </c>
      <c r="O293" s="1">
        <v>86</v>
      </c>
      <c r="P293">
        <f t="shared" si="68"/>
        <v>8.5999999999999993E-2</v>
      </c>
      <c r="Q293" s="3" t="s">
        <v>420</v>
      </c>
      <c r="R293" t="str">
        <f t="shared" si="69"/>
        <v>22/06/2017</v>
      </c>
      <c r="S293">
        <f t="shared" si="79"/>
        <v>2017</v>
      </c>
      <c r="T293">
        <f t="shared" si="80"/>
        <v>6</v>
      </c>
      <c r="U293" t="str">
        <f t="shared" si="81"/>
        <v>06</v>
      </c>
      <c r="V293">
        <f t="shared" si="82"/>
        <v>22</v>
      </c>
      <c r="W293" t="str">
        <f t="shared" si="83"/>
        <v>22</v>
      </c>
      <c r="X293" t="str">
        <f t="shared" si="84"/>
        <v>https://api.geomagnetism.ga.gov.au/agrf?latd=-29&amp;latm=0&amp;lats=41.15&amp;lond=138&amp;lonm=27&amp;lons=50.83&amp;year=2017&amp;month=06&amp;day=22&amp;elev=0.086&amp;Ein=D&amp;Ein=d</v>
      </c>
    </row>
    <row r="294" spans="1:24" ht="17" x14ac:dyDescent="0.25">
      <c r="A294" s="1" t="s">
        <v>374</v>
      </c>
      <c r="B294" s="1">
        <v>-29.01191</v>
      </c>
      <c r="C294" s="1">
        <v>138.46283</v>
      </c>
      <c r="D294" t="s">
        <v>902</v>
      </c>
      <c r="E294" t="s">
        <v>903</v>
      </c>
      <c r="F294" t="str">
        <f t="shared" si="70"/>
        <v>-29° 0' 42.88"</v>
      </c>
      <c r="G294" t="str">
        <f t="shared" si="71"/>
        <v>138° 27' 46.19"</v>
      </c>
      <c r="H294" s="5">
        <f t="shared" si="72"/>
        <v>29</v>
      </c>
      <c r="I294" s="5">
        <f t="shared" si="73"/>
        <v>-29</v>
      </c>
      <c r="J294" s="5">
        <f t="shared" si="74"/>
        <v>0</v>
      </c>
      <c r="K294" s="5">
        <f t="shared" si="75"/>
        <v>42.88</v>
      </c>
      <c r="L294" s="5">
        <f t="shared" si="76"/>
        <v>138</v>
      </c>
      <c r="M294" s="5">
        <f t="shared" si="77"/>
        <v>27</v>
      </c>
      <c r="N294" s="5">
        <f t="shared" si="78"/>
        <v>46.19</v>
      </c>
      <c r="O294" s="1">
        <v>46</v>
      </c>
      <c r="P294">
        <f t="shared" si="68"/>
        <v>4.5999999999999999E-2</v>
      </c>
      <c r="Q294" s="3" t="s">
        <v>412</v>
      </c>
      <c r="R294" t="str">
        <f t="shared" si="69"/>
        <v>18/03/2017</v>
      </c>
      <c r="S294">
        <f t="shared" si="79"/>
        <v>2017</v>
      </c>
      <c r="T294">
        <f t="shared" si="80"/>
        <v>3</v>
      </c>
      <c r="U294" t="str">
        <f t="shared" si="81"/>
        <v>03</v>
      </c>
      <c r="V294">
        <f t="shared" si="82"/>
        <v>18</v>
      </c>
      <c r="W294" t="str">
        <f t="shared" si="83"/>
        <v>18</v>
      </c>
      <c r="X294" t="str">
        <f t="shared" si="84"/>
        <v>https://api.geomagnetism.ga.gov.au/agrf?latd=-29&amp;latm=0&amp;lats=42.88&amp;lond=138&amp;lonm=27&amp;lons=46.19&amp;year=2017&amp;month=03&amp;day=18&amp;elev=0.046&amp;Ein=D&amp;Ein=d</v>
      </c>
    </row>
    <row r="295" spans="1:24" ht="17" x14ac:dyDescent="0.25">
      <c r="A295" s="1" t="s">
        <v>375</v>
      </c>
      <c r="B295" s="1">
        <v>-28.997859999999999</v>
      </c>
      <c r="C295" s="1">
        <v>138.00169</v>
      </c>
      <c r="D295" t="s">
        <v>904</v>
      </c>
      <c r="E295" t="s">
        <v>905</v>
      </c>
      <c r="F295" t="str">
        <f t="shared" si="70"/>
        <v>-28° 59' 52.30"</v>
      </c>
      <c r="G295" t="str">
        <f t="shared" si="71"/>
        <v>138° 0' 6.08"</v>
      </c>
      <c r="H295" s="5">
        <f t="shared" si="72"/>
        <v>28</v>
      </c>
      <c r="I295" s="5">
        <f t="shared" si="73"/>
        <v>-28</v>
      </c>
      <c r="J295" s="5">
        <f t="shared" si="74"/>
        <v>59</v>
      </c>
      <c r="K295" s="5">
        <f t="shared" si="75"/>
        <v>52.3</v>
      </c>
      <c r="L295" s="5">
        <f t="shared" si="76"/>
        <v>138</v>
      </c>
      <c r="M295" s="5">
        <f t="shared" si="77"/>
        <v>0</v>
      </c>
      <c r="N295" s="5">
        <f t="shared" si="78"/>
        <v>6.08</v>
      </c>
      <c r="O295" s="1">
        <v>46</v>
      </c>
      <c r="P295">
        <f t="shared" si="68"/>
        <v>4.5999999999999999E-2</v>
      </c>
      <c r="Q295" s="3" t="s">
        <v>414</v>
      </c>
      <c r="R295" t="str">
        <f t="shared" si="69"/>
        <v>20/06/2017</v>
      </c>
      <c r="S295">
        <f t="shared" si="79"/>
        <v>2017</v>
      </c>
      <c r="T295">
        <f t="shared" si="80"/>
        <v>6</v>
      </c>
      <c r="U295" t="str">
        <f t="shared" si="81"/>
        <v>06</v>
      </c>
      <c r="V295">
        <f t="shared" si="82"/>
        <v>20</v>
      </c>
      <c r="W295" t="str">
        <f t="shared" si="83"/>
        <v>20</v>
      </c>
      <c r="X295" t="str">
        <f t="shared" si="84"/>
        <v>https://api.geomagnetism.ga.gov.au/agrf?latd=-28&amp;latm=59&amp;lats=52.3&amp;lond=138&amp;lonm=0&amp;lons=6.08&amp;year=2017&amp;month=06&amp;day=20&amp;elev=0.046&amp;Ein=D&amp;Ein=d</v>
      </c>
    </row>
    <row r="296" spans="1:24" ht="17" x14ac:dyDescent="0.25">
      <c r="A296" s="1" t="s">
        <v>376</v>
      </c>
      <c r="B296" s="1">
        <v>-28.490539999999999</v>
      </c>
      <c r="C296" s="1">
        <v>140.99737999999999</v>
      </c>
      <c r="D296" t="s">
        <v>906</v>
      </c>
      <c r="E296" t="s">
        <v>907</v>
      </c>
      <c r="F296" t="str">
        <f t="shared" si="70"/>
        <v>-28° 29' 25.94"</v>
      </c>
      <c r="G296" t="str">
        <f t="shared" si="71"/>
        <v>140° 59' 50.57"</v>
      </c>
      <c r="H296" s="5">
        <f t="shared" si="72"/>
        <v>28</v>
      </c>
      <c r="I296" s="5">
        <f t="shared" si="73"/>
        <v>-28</v>
      </c>
      <c r="J296" s="5">
        <f t="shared" si="74"/>
        <v>29</v>
      </c>
      <c r="K296" s="5">
        <f t="shared" si="75"/>
        <v>25.94</v>
      </c>
      <c r="L296" s="5">
        <f t="shared" si="76"/>
        <v>140</v>
      </c>
      <c r="M296" s="5">
        <f t="shared" si="77"/>
        <v>59</v>
      </c>
      <c r="N296" s="5">
        <f t="shared" si="78"/>
        <v>50.57</v>
      </c>
      <c r="O296" s="1">
        <v>35</v>
      </c>
      <c r="P296">
        <f t="shared" si="68"/>
        <v>3.5000000000000003E-2</v>
      </c>
      <c r="Q296" s="3" t="s">
        <v>421</v>
      </c>
      <c r="R296" t="str">
        <f t="shared" si="69"/>
        <v>12/12/2016</v>
      </c>
      <c r="S296">
        <f t="shared" si="79"/>
        <v>2016</v>
      </c>
      <c r="T296">
        <f t="shared" si="80"/>
        <v>12</v>
      </c>
      <c r="U296" t="str">
        <f t="shared" si="81"/>
        <v>12</v>
      </c>
      <c r="V296">
        <f t="shared" si="82"/>
        <v>12</v>
      </c>
      <c r="W296" t="str">
        <f t="shared" si="83"/>
        <v>12</v>
      </c>
      <c r="X296" t="str">
        <f t="shared" si="84"/>
        <v>https://api.geomagnetism.ga.gov.au/agrf?latd=-28&amp;latm=29&amp;lats=25.94&amp;lond=140&amp;lonm=59&amp;lons=50.57&amp;year=2016&amp;month=12&amp;day=12&amp;elev=0.035&amp;Ein=D&amp;Ein=d</v>
      </c>
    </row>
    <row r="297" spans="1:24" ht="17" x14ac:dyDescent="0.25">
      <c r="A297" s="1" t="s">
        <v>377</v>
      </c>
      <c r="B297" s="1">
        <v>-28.495930000000001</v>
      </c>
      <c r="C297" s="1">
        <v>140.49970999999999</v>
      </c>
      <c r="D297" t="s">
        <v>908</v>
      </c>
      <c r="E297" t="s">
        <v>909</v>
      </c>
      <c r="F297" t="str">
        <f t="shared" si="70"/>
        <v>-28° 29' 45.35"</v>
      </c>
      <c r="G297" t="str">
        <f t="shared" si="71"/>
        <v>140° 29' 58.96"</v>
      </c>
      <c r="H297" s="5">
        <f t="shared" si="72"/>
        <v>28</v>
      </c>
      <c r="I297" s="5">
        <f t="shared" si="73"/>
        <v>-28</v>
      </c>
      <c r="J297" s="5">
        <f t="shared" si="74"/>
        <v>29</v>
      </c>
      <c r="K297" s="5">
        <f t="shared" si="75"/>
        <v>45.35</v>
      </c>
      <c r="L297" s="5">
        <f t="shared" si="76"/>
        <v>140</v>
      </c>
      <c r="M297" s="5">
        <f t="shared" si="77"/>
        <v>29</v>
      </c>
      <c r="N297" s="5">
        <f t="shared" si="78"/>
        <v>58.96</v>
      </c>
      <c r="O297" s="1">
        <v>29</v>
      </c>
      <c r="P297">
        <f t="shared" si="68"/>
        <v>2.9000000000000001E-2</v>
      </c>
      <c r="Q297" s="3" t="s">
        <v>415</v>
      </c>
      <c r="R297" t="str">
        <f t="shared" si="69"/>
        <v>19/05/2017</v>
      </c>
      <c r="S297">
        <f t="shared" si="79"/>
        <v>2017</v>
      </c>
      <c r="T297">
        <f t="shared" si="80"/>
        <v>5</v>
      </c>
      <c r="U297" t="str">
        <f t="shared" si="81"/>
        <v>05</v>
      </c>
      <c r="V297">
        <f t="shared" si="82"/>
        <v>19</v>
      </c>
      <c r="W297" t="str">
        <f t="shared" si="83"/>
        <v>19</v>
      </c>
      <c r="X297" t="str">
        <f t="shared" si="84"/>
        <v>https://api.geomagnetism.ga.gov.au/agrf?latd=-28&amp;latm=29&amp;lats=45.35&amp;lond=140&amp;lonm=29&amp;lons=58.96&amp;year=2017&amp;month=05&amp;day=19&amp;elev=0.029&amp;Ein=D&amp;Ein=d</v>
      </c>
    </row>
    <row r="298" spans="1:24" ht="17" x14ac:dyDescent="0.25">
      <c r="A298" s="1" t="s">
        <v>378</v>
      </c>
      <c r="B298" s="1">
        <v>-28.506</v>
      </c>
      <c r="C298" s="1">
        <v>139.99959999999999</v>
      </c>
      <c r="D298" t="s">
        <v>910</v>
      </c>
      <c r="E298" t="s">
        <v>911</v>
      </c>
      <c r="F298" t="str">
        <f t="shared" si="70"/>
        <v>-28° 30' 21.60"</v>
      </c>
      <c r="G298" t="str">
        <f t="shared" si="71"/>
        <v>139° 59' 58.56"</v>
      </c>
      <c r="H298" s="5">
        <f t="shared" si="72"/>
        <v>28</v>
      </c>
      <c r="I298" s="5">
        <f t="shared" si="73"/>
        <v>-28</v>
      </c>
      <c r="J298" s="5">
        <f t="shared" si="74"/>
        <v>30</v>
      </c>
      <c r="K298" s="5">
        <f t="shared" si="75"/>
        <v>21.6</v>
      </c>
      <c r="L298" s="5">
        <f t="shared" si="76"/>
        <v>139</v>
      </c>
      <c r="M298" s="5">
        <f t="shared" si="77"/>
        <v>59</v>
      </c>
      <c r="N298" s="5">
        <f t="shared" si="78"/>
        <v>58.56</v>
      </c>
      <c r="O298" s="1">
        <v>29</v>
      </c>
      <c r="P298">
        <f t="shared" si="68"/>
        <v>2.9000000000000001E-2</v>
      </c>
      <c r="Q298" s="3" t="s">
        <v>407</v>
      </c>
      <c r="R298" t="str">
        <f t="shared" si="69"/>
        <v>19/06/2017</v>
      </c>
      <c r="S298">
        <f t="shared" si="79"/>
        <v>2017</v>
      </c>
      <c r="T298">
        <f t="shared" si="80"/>
        <v>6</v>
      </c>
      <c r="U298" t="str">
        <f t="shared" si="81"/>
        <v>06</v>
      </c>
      <c r="V298">
        <f t="shared" si="82"/>
        <v>19</v>
      </c>
      <c r="W298" t="str">
        <f t="shared" si="83"/>
        <v>19</v>
      </c>
      <c r="X298" t="str">
        <f t="shared" si="84"/>
        <v>https://api.geomagnetism.ga.gov.au/agrf?latd=-28&amp;latm=30&amp;lats=21.6&amp;lond=139&amp;lonm=59&amp;lons=58.56&amp;year=2017&amp;month=06&amp;day=19&amp;elev=0.029&amp;Ein=D&amp;Ein=d</v>
      </c>
    </row>
    <row r="299" spans="1:24" ht="17" x14ac:dyDescent="0.25">
      <c r="A299" s="1" t="s">
        <v>379</v>
      </c>
      <c r="B299" s="1">
        <v>-28.493819999999999</v>
      </c>
      <c r="C299" s="1">
        <v>139.50192999999999</v>
      </c>
      <c r="D299" t="s">
        <v>912</v>
      </c>
      <c r="E299" t="s">
        <v>667</v>
      </c>
      <c r="F299" t="str">
        <f t="shared" si="70"/>
        <v>-28° 29' 37.75"</v>
      </c>
      <c r="G299" t="str">
        <f t="shared" si="71"/>
        <v>139° 30' 6.95"</v>
      </c>
      <c r="H299" s="5">
        <f t="shared" si="72"/>
        <v>28</v>
      </c>
      <c r="I299" s="5">
        <f t="shared" si="73"/>
        <v>-28</v>
      </c>
      <c r="J299" s="5">
        <f t="shared" si="74"/>
        <v>29</v>
      </c>
      <c r="K299" s="5">
        <f t="shared" si="75"/>
        <v>37.75</v>
      </c>
      <c r="L299" s="5">
        <f t="shared" si="76"/>
        <v>139</v>
      </c>
      <c r="M299" s="5">
        <f t="shared" si="77"/>
        <v>30</v>
      </c>
      <c r="N299" s="5">
        <f t="shared" si="78"/>
        <v>6.95</v>
      </c>
      <c r="O299" s="1">
        <v>29</v>
      </c>
      <c r="P299">
        <f t="shared" si="68"/>
        <v>2.9000000000000001E-2</v>
      </c>
      <c r="Q299" s="3" t="s">
        <v>414</v>
      </c>
      <c r="R299" t="str">
        <f t="shared" si="69"/>
        <v>20/06/2017</v>
      </c>
      <c r="S299">
        <f t="shared" si="79"/>
        <v>2017</v>
      </c>
      <c r="T299">
        <f t="shared" si="80"/>
        <v>6</v>
      </c>
      <c r="U299" t="str">
        <f t="shared" si="81"/>
        <v>06</v>
      </c>
      <c r="V299">
        <f t="shared" si="82"/>
        <v>20</v>
      </c>
      <c r="W299" t="str">
        <f t="shared" si="83"/>
        <v>20</v>
      </c>
      <c r="X299" t="str">
        <f t="shared" si="84"/>
        <v>https://api.geomagnetism.ga.gov.au/agrf?latd=-28&amp;latm=29&amp;lats=37.75&amp;lond=139&amp;lonm=30&amp;lons=6.95&amp;year=2017&amp;month=06&amp;day=20&amp;elev=0.029&amp;Ein=D&amp;Ein=d</v>
      </c>
    </row>
    <row r="300" spans="1:24" ht="17" x14ac:dyDescent="0.25">
      <c r="A300" s="1" t="s">
        <v>380</v>
      </c>
      <c r="B300" s="1">
        <v>-28.500250000000001</v>
      </c>
      <c r="C300" s="1">
        <v>139.01174</v>
      </c>
      <c r="D300" t="s">
        <v>913</v>
      </c>
      <c r="E300" t="s">
        <v>914</v>
      </c>
      <c r="F300" t="str">
        <f t="shared" si="70"/>
        <v>-28° 30' 0.90"</v>
      </c>
      <c r="G300" t="str">
        <f t="shared" si="71"/>
        <v>139° 0' 42.26"</v>
      </c>
      <c r="H300" s="5">
        <f t="shared" si="72"/>
        <v>28</v>
      </c>
      <c r="I300" s="5">
        <f t="shared" si="73"/>
        <v>-28</v>
      </c>
      <c r="J300" s="5">
        <f t="shared" si="74"/>
        <v>30</v>
      </c>
      <c r="K300" s="5">
        <f t="shared" si="75"/>
        <v>0.9</v>
      </c>
      <c r="L300" s="5">
        <f t="shared" si="76"/>
        <v>139</v>
      </c>
      <c r="M300" s="5">
        <f t="shared" si="77"/>
        <v>0</v>
      </c>
      <c r="N300" s="5">
        <f t="shared" si="78"/>
        <v>42.26</v>
      </c>
      <c r="O300" s="1">
        <v>20</v>
      </c>
      <c r="P300">
        <f t="shared" si="68"/>
        <v>0.02</v>
      </c>
      <c r="Q300" s="3" t="s">
        <v>415</v>
      </c>
      <c r="R300" t="str">
        <f t="shared" si="69"/>
        <v>19/05/2017</v>
      </c>
      <c r="S300">
        <f t="shared" si="79"/>
        <v>2017</v>
      </c>
      <c r="T300">
        <f t="shared" si="80"/>
        <v>5</v>
      </c>
      <c r="U300" t="str">
        <f t="shared" si="81"/>
        <v>05</v>
      </c>
      <c r="V300">
        <f t="shared" si="82"/>
        <v>19</v>
      </c>
      <c r="W300" t="str">
        <f t="shared" si="83"/>
        <v>19</v>
      </c>
      <c r="X300" t="str">
        <f t="shared" si="84"/>
        <v>https://api.geomagnetism.ga.gov.au/agrf?latd=-28&amp;latm=30&amp;lats=0.9&amp;lond=139&amp;lonm=0&amp;lons=42.26&amp;year=2017&amp;month=05&amp;day=19&amp;elev=0.02&amp;Ein=D&amp;Ein=d</v>
      </c>
    </row>
    <row r="301" spans="1:24" ht="17" x14ac:dyDescent="0.25">
      <c r="A301" s="1" t="s">
        <v>381</v>
      </c>
      <c r="B301" s="1">
        <v>-28.49783</v>
      </c>
      <c r="C301" s="1">
        <v>138.50373999999999</v>
      </c>
      <c r="D301" t="s">
        <v>915</v>
      </c>
      <c r="E301" t="s">
        <v>916</v>
      </c>
      <c r="F301" t="str">
        <f t="shared" si="70"/>
        <v>-28° 29' 52.19"</v>
      </c>
      <c r="G301" t="str">
        <f t="shared" si="71"/>
        <v>138° 30' 13.46"</v>
      </c>
      <c r="H301" s="5">
        <f t="shared" si="72"/>
        <v>28</v>
      </c>
      <c r="I301" s="5">
        <f t="shared" si="73"/>
        <v>-28</v>
      </c>
      <c r="J301" s="5">
        <f t="shared" si="74"/>
        <v>29</v>
      </c>
      <c r="K301" s="5">
        <f t="shared" si="75"/>
        <v>52.19</v>
      </c>
      <c r="L301" s="5">
        <f t="shared" si="76"/>
        <v>138</v>
      </c>
      <c r="M301" s="5">
        <f t="shared" si="77"/>
        <v>30</v>
      </c>
      <c r="N301" s="5">
        <f t="shared" si="78"/>
        <v>13.46</v>
      </c>
      <c r="O301" s="1">
        <v>0</v>
      </c>
      <c r="P301">
        <f t="shared" si="68"/>
        <v>0</v>
      </c>
      <c r="Q301" s="3" t="s">
        <v>413</v>
      </c>
      <c r="R301" t="str">
        <f t="shared" si="69"/>
        <v>20/05/2017</v>
      </c>
      <c r="S301">
        <f t="shared" si="79"/>
        <v>2017</v>
      </c>
      <c r="T301">
        <f t="shared" si="80"/>
        <v>5</v>
      </c>
      <c r="U301" t="str">
        <f t="shared" si="81"/>
        <v>05</v>
      </c>
      <c r="V301">
        <f t="shared" si="82"/>
        <v>20</v>
      </c>
      <c r="W301" t="str">
        <f t="shared" si="83"/>
        <v>20</v>
      </c>
      <c r="X301" t="str">
        <f t="shared" si="84"/>
        <v>https://api.geomagnetism.ga.gov.au/agrf?latd=-28&amp;latm=29&amp;lats=52.19&amp;lond=138&amp;lonm=30&amp;lons=13.46&amp;year=2017&amp;month=05&amp;day=20&amp;elev=0&amp;Ein=D&amp;Ein=d</v>
      </c>
    </row>
    <row r="302" spans="1:24" ht="17" x14ac:dyDescent="0.25">
      <c r="A302" s="1" t="s">
        <v>382</v>
      </c>
      <c r="B302" s="1">
        <v>-28.51745</v>
      </c>
      <c r="C302" s="1">
        <v>138.00097</v>
      </c>
      <c r="D302" t="s">
        <v>917</v>
      </c>
      <c r="E302" t="s">
        <v>918</v>
      </c>
      <c r="F302" t="str">
        <f t="shared" si="70"/>
        <v>-28° 31' 2.82"</v>
      </c>
      <c r="G302" t="str">
        <f t="shared" si="71"/>
        <v>138° 0' 3.49"</v>
      </c>
      <c r="H302" s="5">
        <f t="shared" si="72"/>
        <v>28</v>
      </c>
      <c r="I302" s="5">
        <f t="shared" si="73"/>
        <v>-28</v>
      </c>
      <c r="J302" s="5">
        <f t="shared" si="74"/>
        <v>31</v>
      </c>
      <c r="K302" s="5">
        <f t="shared" si="75"/>
        <v>2.82</v>
      </c>
      <c r="L302" s="5">
        <f t="shared" si="76"/>
        <v>138</v>
      </c>
      <c r="M302" s="5">
        <f t="shared" si="77"/>
        <v>0</v>
      </c>
      <c r="N302" s="5">
        <f t="shared" si="78"/>
        <v>3.49</v>
      </c>
      <c r="O302" s="1">
        <v>88</v>
      </c>
      <c r="P302">
        <f t="shared" si="68"/>
        <v>8.7999999999999995E-2</v>
      </c>
      <c r="Q302" s="3" t="s">
        <v>417</v>
      </c>
      <c r="R302" t="str">
        <f t="shared" si="69"/>
        <v>22/05/2017</v>
      </c>
      <c r="S302">
        <f t="shared" si="79"/>
        <v>2017</v>
      </c>
      <c r="T302">
        <f t="shared" si="80"/>
        <v>5</v>
      </c>
      <c r="U302" t="str">
        <f t="shared" si="81"/>
        <v>05</v>
      </c>
      <c r="V302">
        <f t="shared" si="82"/>
        <v>22</v>
      </c>
      <c r="W302" t="str">
        <f t="shared" si="83"/>
        <v>22</v>
      </c>
      <c r="X302" t="str">
        <f t="shared" si="84"/>
        <v>https://api.geomagnetism.ga.gov.au/agrf?latd=-28&amp;latm=31&amp;lats=2.82&amp;lond=138&amp;lonm=0&amp;lons=3.49&amp;year=2017&amp;month=05&amp;day=22&amp;elev=0.088&amp;Ein=D&amp;Ein=d</v>
      </c>
    </row>
    <row r="303" spans="1:24" ht="17" x14ac:dyDescent="0.25">
      <c r="A303" s="1" t="s">
        <v>383</v>
      </c>
      <c r="B303" s="1">
        <v>-28.431483329999999</v>
      </c>
      <c r="C303" s="1">
        <v>136.96775</v>
      </c>
      <c r="D303" t="s">
        <v>919</v>
      </c>
      <c r="E303" t="s">
        <v>920</v>
      </c>
      <c r="F303" t="str">
        <f t="shared" si="70"/>
        <v>-28° 25' 53.34"</v>
      </c>
      <c r="G303" t="str">
        <f t="shared" si="71"/>
        <v>136° 58' 3.90"</v>
      </c>
      <c r="H303" s="5">
        <f t="shared" si="72"/>
        <v>28</v>
      </c>
      <c r="I303" s="5">
        <f t="shared" si="73"/>
        <v>-28</v>
      </c>
      <c r="J303" s="5">
        <f t="shared" si="74"/>
        <v>25</v>
      </c>
      <c r="K303" s="5">
        <f t="shared" si="75"/>
        <v>53.34</v>
      </c>
      <c r="L303" s="5">
        <f t="shared" si="76"/>
        <v>136</v>
      </c>
      <c r="M303" s="5">
        <f t="shared" si="77"/>
        <v>58</v>
      </c>
      <c r="N303" s="5">
        <f t="shared" si="78"/>
        <v>3.9</v>
      </c>
      <c r="O303" s="1">
        <v>186</v>
      </c>
      <c r="P303">
        <f t="shared" si="68"/>
        <v>0.186</v>
      </c>
      <c r="Q303" s="3" t="s">
        <v>409</v>
      </c>
      <c r="R303" t="str">
        <f t="shared" si="69"/>
        <v>20/11/2016</v>
      </c>
      <c r="S303">
        <f t="shared" si="79"/>
        <v>2016</v>
      </c>
      <c r="T303">
        <f t="shared" si="80"/>
        <v>11</v>
      </c>
      <c r="U303" t="str">
        <f t="shared" si="81"/>
        <v>11</v>
      </c>
      <c r="V303">
        <f t="shared" si="82"/>
        <v>20</v>
      </c>
      <c r="W303" t="str">
        <f t="shared" si="83"/>
        <v>20</v>
      </c>
      <c r="X303" t="str">
        <f t="shared" si="84"/>
        <v>https://api.geomagnetism.ga.gov.au/agrf?latd=-28&amp;latm=25&amp;lats=53.34&amp;lond=136&amp;lonm=58&amp;lons=3.9&amp;year=2016&amp;month=11&amp;day=20&amp;elev=0.186&amp;Ein=D&amp;Ein=d</v>
      </c>
    </row>
    <row r="304" spans="1:24" ht="17" x14ac:dyDescent="0.25">
      <c r="A304" s="1" t="s">
        <v>384</v>
      </c>
      <c r="B304" s="1">
        <v>-28.497566670000001</v>
      </c>
      <c r="C304" s="1">
        <v>136.5007167</v>
      </c>
      <c r="D304" t="s">
        <v>921</v>
      </c>
      <c r="E304" t="s">
        <v>922</v>
      </c>
      <c r="F304" t="str">
        <f t="shared" si="70"/>
        <v>-28° 29' 51.24"</v>
      </c>
      <c r="G304" t="str">
        <f t="shared" si="71"/>
        <v>136° 30' 2.58"</v>
      </c>
      <c r="H304" s="5">
        <f t="shared" si="72"/>
        <v>28</v>
      </c>
      <c r="I304" s="5">
        <f t="shared" si="73"/>
        <v>-28</v>
      </c>
      <c r="J304" s="5">
        <f t="shared" si="74"/>
        <v>29</v>
      </c>
      <c r="K304" s="5">
        <f t="shared" si="75"/>
        <v>51.24</v>
      </c>
      <c r="L304" s="5">
        <f t="shared" si="76"/>
        <v>136</v>
      </c>
      <c r="M304" s="5">
        <f t="shared" si="77"/>
        <v>30</v>
      </c>
      <c r="N304" s="5">
        <f t="shared" si="78"/>
        <v>2.58</v>
      </c>
      <c r="O304" s="1">
        <v>267</v>
      </c>
      <c r="P304">
        <f t="shared" si="68"/>
        <v>0.26700000000000002</v>
      </c>
      <c r="Q304" s="3" t="s">
        <v>419</v>
      </c>
      <c r="R304" t="str">
        <f t="shared" si="69"/>
        <v>19/11/2016</v>
      </c>
      <c r="S304">
        <f t="shared" si="79"/>
        <v>2016</v>
      </c>
      <c r="T304">
        <f t="shared" si="80"/>
        <v>11</v>
      </c>
      <c r="U304" t="str">
        <f t="shared" si="81"/>
        <v>11</v>
      </c>
      <c r="V304">
        <f t="shared" si="82"/>
        <v>19</v>
      </c>
      <c r="W304" t="str">
        <f t="shared" si="83"/>
        <v>19</v>
      </c>
      <c r="X304" t="str">
        <f t="shared" si="84"/>
        <v>https://api.geomagnetism.ga.gov.au/agrf?latd=-28&amp;latm=29&amp;lats=51.24&amp;lond=136&amp;lonm=30&amp;lons=2.58&amp;year=2016&amp;month=11&amp;day=19&amp;elev=0.267&amp;Ein=D&amp;Ein=d</v>
      </c>
    </row>
    <row r="305" spans="1:24" ht="17" x14ac:dyDescent="0.25">
      <c r="A305" s="1" t="s">
        <v>385</v>
      </c>
      <c r="B305" s="1">
        <v>-28.46585</v>
      </c>
      <c r="C305" s="1">
        <v>135.9727833</v>
      </c>
      <c r="D305" t="s">
        <v>923</v>
      </c>
      <c r="E305" t="s">
        <v>924</v>
      </c>
      <c r="F305" t="str">
        <f t="shared" si="70"/>
        <v>-28° 27' 57.06"</v>
      </c>
      <c r="G305" t="str">
        <f t="shared" si="71"/>
        <v>135° 58' 22.02"</v>
      </c>
      <c r="H305" s="5">
        <f t="shared" si="72"/>
        <v>28</v>
      </c>
      <c r="I305" s="5">
        <f t="shared" si="73"/>
        <v>-28</v>
      </c>
      <c r="J305" s="5">
        <f t="shared" si="74"/>
        <v>27</v>
      </c>
      <c r="K305" s="5">
        <f t="shared" si="75"/>
        <v>57.06</v>
      </c>
      <c r="L305" s="5">
        <f t="shared" si="76"/>
        <v>135</v>
      </c>
      <c r="M305" s="5">
        <f t="shared" si="77"/>
        <v>58</v>
      </c>
      <c r="N305" s="5">
        <f t="shared" si="78"/>
        <v>22.02</v>
      </c>
      <c r="O305" s="1">
        <v>378</v>
      </c>
      <c r="P305">
        <f t="shared" ref="P305:P365" si="85">O305/1000</f>
        <v>0.378</v>
      </c>
      <c r="Q305" s="3" t="s">
        <v>402</v>
      </c>
      <c r="R305" t="str">
        <f t="shared" ref="R305:R365" si="86">TEXT(DATEVALUE(LEFT(Q305,10)), "dd/mm/yyyy")</f>
        <v>16/11/2016</v>
      </c>
      <c r="S305">
        <f t="shared" si="79"/>
        <v>2016</v>
      </c>
      <c r="T305">
        <f t="shared" si="80"/>
        <v>11</v>
      </c>
      <c r="U305" t="str">
        <f t="shared" si="81"/>
        <v>11</v>
      </c>
      <c r="V305">
        <f t="shared" si="82"/>
        <v>16</v>
      </c>
      <c r="W305" t="str">
        <f t="shared" si="83"/>
        <v>16</v>
      </c>
      <c r="X305" t="str">
        <f t="shared" si="84"/>
        <v>https://api.geomagnetism.ga.gov.au/agrf?latd=-28&amp;latm=27&amp;lats=57.06&amp;lond=135&amp;lonm=58&amp;lons=22.02&amp;year=2016&amp;month=11&amp;day=16&amp;elev=0.378&amp;Ein=D&amp;Ein=d</v>
      </c>
    </row>
    <row r="306" spans="1:24" ht="17" x14ac:dyDescent="0.25">
      <c r="A306" s="1" t="s">
        <v>386</v>
      </c>
      <c r="B306" s="1">
        <v>-28.500133330000001</v>
      </c>
      <c r="C306" s="1">
        <v>135.49586669999999</v>
      </c>
      <c r="D306" t="s">
        <v>925</v>
      </c>
      <c r="E306" t="s">
        <v>926</v>
      </c>
      <c r="F306" t="str">
        <f t="shared" si="70"/>
        <v>-28° 30' 0.48"</v>
      </c>
      <c r="G306" t="str">
        <f t="shared" si="71"/>
        <v>135° 29' 45.12"</v>
      </c>
      <c r="H306" s="5">
        <f t="shared" si="72"/>
        <v>28</v>
      </c>
      <c r="I306" s="5">
        <f t="shared" si="73"/>
        <v>-28</v>
      </c>
      <c r="J306" s="5">
        <f t="shared" si="74"/>
        <v>30</v>
      </c>
      <c r="K306" s="5">
        <f t="shared" si="75"/>
        <v>0.48</v>
      </c>
      <c r="L306" s="5">
        <f t="shared" si="76"/>
        <v>135</v>
      </c>
      <c r="M306" s="5">
        <f t="shared" si="77"/>
        <v>29</v>
      </c>
      <c r="N306" s="5">
        <f t="shared" si="78"/>
        <v>45.12</v>
      </c>
      <c r="O306" s="1">
        <v>71</v>
      </c>
      <c r="P306">
        <f t="shared" si="85"/>
        <v>7.0999999999999994E-2</v>
      </c>
      <c r="Q306" s="3" t="s">
        <v>166</v>
      </c>
      <c r="R306" t="str">
        <f t="shared" si="86"/>
        <v>20/03/2017</v>
      </c>
      <c r="S306">
        <f t="shared" si="79"/>
        <v>2017</v>
      </c>
      <c r="T306">
        <f t="shared" si="80"/>
        <v>3</v>
      </c>
      <c r="U306" t="str">
        <f t="shared" si="81"/>
        <v>03</v>
      </c>
      <c r="V306">
        <f t="shared" si="82"/>
        <v>20</v>
      </c>
      <c r="W306" t="str">
        <f t="shared" si="83"/>
        <v>20</v>
      </c>
      <c r="X306" t="str">
        <f t="shared" si="84"/>
        <v>https://api.geomagnetism.ga.gov.au/agrf?latd=-28&amp;latm=30&amp;lats=0.48&amp;lond=135&amp;lonm=29&amp;lons=45.12&amp;year=2017&amp;month=03&amp;day=20&amp;elev=0.071&amp;Ein=D&amp;Ein=d</v>
      </c>
    </row>
    <row r="307" spans="1:24" ht="17" x14ac:dyDescent="0.25">
      <c r="A307" s="1" t="s">
        <v>387</v>
      </c>
      <c r="B307" s="1">
        <v>-28.519855</v>
      </c>
      <c r="C307" s="1">
        <v>134.95778670000001</v>
      </c>
      <c r="D307" t="s">
        <v>1038</v>
      </c>
      <c r="E307" t="s">
        <v>1039</v>
      </c>
      <c r="F307" t="str">
        <f t="shared" si="70"/>
        <v>-28° 31' 11.48"</v>
      </c>
      <c r="G307" t="str">
        <f t="shared" si="71"/>
        <v>134° 57' 28.03"</v>
      </c>
      <c r="H307" s="5">
        <f t="shared" si="72"/>
        <v>28</v>
      </c>
      <c r="I307" s="5">
        <f t="shared" si="73"/>
        <v>-28</v>
      </c>
      <c r="J307" s="5">
        <f t="shared" si="74"/>
        <v>31</v>
      </c>
      <c r="K307" s="5">
        <f t="shared" si="75"/>
        <v>11.48</v>
      </c>
      <c r="L307" s="5">
        <f t="shared" si="76"/>
        <v>134</v>
      </c>
      <c r="M307" s="5">
        <f t="shared" si="77"/>
        <v>57</v>
      </c>
      <c r="N307" s="5">
        <f t="shared" si="78"/>
        <v>28.03</v>
      </c>
      <c r="O307" s="1">
        <v>4</v>
      </c>
      <c r="P307">
        <f t="shared" si="85"/>
        <v>4.0000000000000001E-3</v>
      </c>
      <c r="Q307" s="3" t="s">
        <v>394</v>
      </c>
      <c r="R307" t="str">
        <f t="shared" si="86"/>
        <v>23/06/2017</v>
      </c>
      <c r="S307">
        <f t="shared" si="79"/>
        <v>2017</v>
      </c>
      <c r="T307">
        <f t="shared" si="80"/>
        <v>6</v>
      </c>
      <c r="U307" t="str">
        <f t="shared" si="81"/>
        <v>06</v>
      </c>
      <c r="V307">
        <f t="shared" si="82"/>
        <v>23</v>
      </c>
      <c r="W307" t="str">
        <f t="shared" si="83"/>
        <v>23</v>
      </c>
      <c r="X307" t="str">
        <f t="shared" si="84"/>
        <v>https://api.geomagnetism.ga.gov.au/agrf?latd=-28&amp;latm=31&amp;lats=11.48&amp;lond=134&amp;lonm=57&amp;lons=28.03&amp;year=2017&amp;month=06&amp;day=23&amp;elev=0.004&amp;Ein=D&amp;Ein=d</v>
      </c>
    </row>
    <row r="308" spans="1:24" ht="17" x14ac:dyDescent="0.25">
      <c r="A308" s="1" t="s">
        <v>388</v>
      </c>
      <c r="B308" s="1">
        <v>-28.50122</v>
      </c>
      <c r="C308" s="1">
        <v>134.47623999999999</v>
      </c>
      <c r="D308" t="s">
        <v>927</v>
      </c>
      <c r="E308" t="s">
        <v>928</v>
      </c>
      <c r="F308" t="str">
        <f t="shared" si="70"/>
        <v>-28° 30' 4.39"</v>
      </c>
      <c r="G308" t="str">
        <f t="shared" si="71"/>
        <v>134° 28' 34.46"</v>
      </c>
      <c r="H308" s="5">
        <f t="shared" si="72"/>
        <v>28</v>
      </c>
      <c r="I308" s="5">
        <f t="shared" si="73"/>
        <v>-28</v>
      </c>
      <c r="J308" s="5">
        <f t="shared" si="74"/>
        <v>30</v>
      </c>
      <c r="K308" s="5">
        <f t="shared" si="75"/>
        <v>4.3899999999999997</v>
      </c>
      <c r="L308" s="5">
        <f t="shared" si="76"/>
        <v>134</v>
      </c>
      <c r="M308" s="5">
        <f t="shared" si="77"/>
        <v>28</v>
      </c>
      <c r="N308" s="5">
        <f t="shared" si="78"/>
        <v>34.46</v>
      </c>
      <c r="O308" s="1">
        <v>4</v>
      </c>
      <c r="P308">
        <f t="shared" si="85"/>
        <v>4.0000000000000001E-3</v>
      </c>
      <c r="Q308" s="3" t="s">
        <v>394</v>
      </c>
      <c r="R308" t="str">
        <f t="shared" si="86"/>
        <v>23/06/2017</v>
      </c>
      <c r="S308">
        <f t="shared" si="79"/>
        <v>2017</v>
      </c>
      <c r="T308">
        <f t="shared" si="80"/>
        <v>6</v>
      </c>
      <c r="U308" t="str">
        <f t="shared" si="81"/>
        <v>06</v>
      </c>
      <c r="V308">
        <f t="shared" si="82"/>
        <v>23</v>
      </c>
      <c r="W308" t="str">
        <f t="shared" si="83"/>
        <v>23</v>
      </c>
      <c r="X308" t="str">
        <f t="shared" si="84"/>
        <v>https://api.geomagnetism.ga.gov.au/agrf?latd=-28&amp;latm=30&amp;lats=4.39&amp;lond=134&amp;lonm=28&amp;lons=34.46&amp;year=2017&amp;month=06&amp;day=23&amp;elev=0.004&amp;Ein=D&amp;Ein=d</v>
      </c>
    </row>
    <row r="309" spans="1:24" ht="17" x14ac:dyDescent="0.25">
      <c r="A309" s="1" t="s">
        <v>422</v>
      </c>
      <c r="B309" s="1">
        <v>-28.519855</v>
      </c>
      <c r="C309" s="1">
        <v>134.95778670000001</v>
      </c>
      <c r="D309" t="s">
        <v>1038</v>
      </c>
      <c r="E309" t="s">
        <v>1039</v>
      </c>
      <c r="F309" t="str">
        <f t="shared" si="70"/>
        <v>-28° 31' 11.48"</v>
      </c>
      <c r="G309" t="str">
        <f t="shared" si="71"/>
        <v>134° 57' 28.03"</v>
      </c>
      <c r="H309" s="5">
        <f t="shared" si="72"/>
        <v>28</v>
      </c>
      <c r="I309" s="5">
        <f t="shared" si="73"/>
        <v>-28</v>
      </c>
      <c r="J309" s="5">
        <f t="shared" si="74"/>
        <v>31</v>
      </c>
      <c r="K309" s="5">
        <f t="shared" si="75"/>
        <v>11.48</v>
      </c>
      <c r="L309" s="5">
        <f t="shared" si="76"/>
        <v>134</v>
      </c>
      <c r="M309" s="5">
        <f t="shared" si="77"/>
        <v>57</v>
      </c>
      <c r="N309" s="5">
        <f t="shared" si="78"/>
        <v>28.03</v>
      </c>
      <c r="O309" s="1">
        <v>154</v>
      </c>
      <c r="P309">
        <f t="shared" si="85"/>
        <v>0.154</v>
      </c>
      <c r="Q309" s="4" t="s">
        <v>424</v>
      </c>
      <c r="R309" t="str">
        <f t="shared" si="86"/>
        <v>23/11/2016</v>
      </c>
      <c r="S309">
        <f t="shared" si="79"/>
        <v>2016</v>
      </c>
      <c r="T309">
        <f t="shared" si="80"/>
        <v>11</v>
      </c>
      <c r="U309" t="str">
        <f t="shared" si="81"/>
        <v>11</v>
      </c>
      <c r="V309">
        <f t="shared" si="82"/>
        <v>23</v>
      </c>
      <c r="W309" t="str">
        <f t="shared" si="83"/>
        <v>23</v>
      </c>
      <c r="X309" t="str">
        <f t="shared" si="84"/>
        <v>https://api.geomagnetism.ga.gov.au/agrf?latd=-28&amp;latm=31&amp;lats=11.48&amp;lond=134&amp;lonm=57&amp;lons=28.03&amp;year=2016&amp;month=11&amp;day=23&amp;elev=0.154&amp;Ein=D&amp;Ein=d</v>
      </c>
    </row>
    <row r="310" spans="1:24" ht="17" x14ac:dyDescent="0.25">
      <c r="A310" s="1" t="s">
        <v>423</v>
      </c>
      <c r="B310" s="1">
        <v>-27.49521833</v>
      </c>
      <c r="C310" s="1">
        <v>135.48217500000001</v>
      </c>
      <c r="D310" t="s">
        <v>1040</v>
      </c>
      <c r="E310" t="s">
        <v>1041</v>
      </c>
      <c r="F310" t="str">
        <f t="shared" si="70"/>
        <v>-27° 29' 42.79"</v>
      </c>
      <c r="G310" t="str">
        <f t="shared" si="71"/>
        <v>135° 28' 55.83"</v>
      </c>
      <c r="H310" s="5">
        <f t="shared" si="72"/>
        <v>27</v>
      </c>
      <c r="I310" s="5">
        <f t="shared" si="73"/>
        <v>-27</v>
      </c>
      <c r="J310" s="5">
        <f t="shared" si="74"/>
        <v>29</v>
      </c>
      <c r="K310" s="5">
        <f t="shared" si="75"/>
        <v>42.79</v>
      </c>
      <c r="L310" s="5">
        <f t="shared" si="76"/>
        <v>135</v>
      </c>
      <c r="M310" s="5">
        <f t="shared" si="77"/>
        <v>28</v>
      </c>
      <c r="N310" s="5">
        <f t="shared" si="78"/>
        <v>55.83</v>
      </c>
      <c r="O310" s="1">
        <v>147</v>
      </c>
      <c r="P310">
        <f t="shared" si="85"/>
        <v>0.14699999999999999</v>
      </c>
      <c r="Q310" s="4" t="s">
        <v>399</v>
      </c>
      <c r="R310" t="str">
        <f t="shared" si="86"/>
        <v>22/11/2016</v>
      </c>
      <c r="S310">
        <f t="shared" si="79"/>
        <v>2016</v>
      </c>
      <c r="T310">
        <f t="shared" si="80"/>
        <v>11</v>
      </c>
      <c r="U310" t="str">
        <f t="shared" si="81"/>
        <v>11</v>
      </c>
      <c r="V310">
        <f t="shared" si="82"/>
        <v>22</v>
      </c>
      <c r="W310" t="str">
        <f t="shared" si="83"/>
        <v>22</v>
      </c>
      <c r="X310" t="str">
        <f t="shared" si="84"/>
        <v>https://api.geomagnetism.ga.gov.au/agrf?latd=-27&amp;latm=29&amp;lats=42.79&amp;lond=135&amp;lonm=28&amp;lons=55.83&amp;year=2016&amp;month=11&amp;day=22&amp;elev=0.147&amp;Ein=D&amp;Ein=d</v>
      </c>
    </row>
    <row r="311" spans="1:24" ht="17" x14ac:dyDescent="0.25">
      <c r="A311" s="1" t="s">
        <v>425</v>
      </c>
      <c r="B311" s="1">
        <v>-37.968919999999997</v>
      </c>
      <c r="C311" s="1">
        <v>140.51979</v>
      </c>
      <c r="D311" t="s">
        <v>1042</v>
      </c>
      <c r="E311" t="s">
        <v>1043</v>
      </c>
      <c r="F311" t="str">
        <f t="shared" si="70"/>
        <v>-37° 58' 8.11"</v>
      </c>
      <c r="G311" t="str">
        <f t="shared" si="71"/>
        <v>140° 31' 11.24"</v>
      </c>
      <c r="H311" s="5">
        <f t="shared" si="72"/>
        <v>37</v>
      </c>
      <c r="I311" s="5">
        <f t="shared" si="73"/>
        <v>-37</v>
      </c>
      <c r="J311" s="5">
        <f t="shared" si="74"/>
        <v>58</v>
      </c>
      <c r="K311" s="5">
        <f t="shared" si="75"/>
        <v>8.11</v>
      </c>
      <c r="L311" s="5">
        <f t="shared" si="76"/>
        <v>140</v>
      </c>
      <c r="M311" s="5">
        <f t="shared" si="77"/>
        <v>31</v>
      </c>
      <c r="N311" s="5">
        <f t="shared" si="78"/>
        <v>11.24</v>
      </c>
      <c r="O311" s="1">
        <v>13</v>
      </c>
      <c r="P311">
        <f t="shared" si="85"/>
        <v>1.2999999999999999E-2</v>
      </c>
      <c r="Q311" s="3" t="s">
        <v>445</v>
      </c>
      <c r="R311" t="str">
        <f t="shared" si="86"/>
        <v>20/01/2015</v>
      </c>
      <c r="S311">
        <f t="shared" si="79"/>
        <v>2015</v>
      </c>
      <c r="T311">
        <f t="shared" si="80"/>
        <v>1</v>
      </c>
      <c r="U311" t="str">
        <f t="shared" si="81"/>
        <v>01</v>
      </c>
      <c r="V311">
        <f t="shared" si="82"/>
        <v>20</v>
      </c>
      <c r="W311" t="str">
        <f t="shared" si="83"/>
        <v>20</v>
      </c>
      <c r="X311" t="str">
        <f t="shared" si="84"/>
        <v>https://api.geomagnetism.ga.gov.au/agrf?latd=-37&amp;latm=58&amp;lats=8.11&amp;lond=140&amp;lonm=31&amp;lons=11.24&amp;year=2015&amp;month=01&amp;day=20&amp;elev=0.013&amp;Ein=D&amp;Ein=d</v>
      </c>
    </row>
    <row r="312" spans="1:24" ht="17" x14ac:dyDescent="0.25">
      <c r="A312" s="1" t="s">
        <v>426</v>
      </c>
      <c r="B312" s="1">
        <v>-37.486573</v>
      </c>
      <c r="C312" s="1">
        <v>140.488744</v>
      </c>
      <c r="D312" t="s">
        <v>1044</v>
      </c>
      <c r="E312" t="s">
        <v>1045</v>
      </c>
      <c r="F312" t="str">
        <f t="shared" si="70"/>
        <v>-37° 29' 11.66"</v>
      </c>
      <c r="G312" t="str">
        <f t="shared" si="71"/>
        <v>140° 29' 19.48"</v>
      </c>
      <c r="H312" s="5">
        <f t="shared" si="72"/>
        <v>37</v>
      </c>
      <c r="I312" s="5">
        <f t="shared" si="73"/>
        <v>-37</v>
      </c>
      <c r="J312" s="5">
        <f t="shared" si="74"/>
        <v>29</v>
      </c>
      <c r="K312" s="5">
        <f t="shared" si="75"/>
        <v>11.66</v>
      </c>
      <c r="L312" s="5">
        <f t="shared" si="76"/>
        <v>140</v>
      </c>
      <c r="M312" s="5">
        <f t="shared" si="77"/>
        <v>29</v>
      </c>
      <c r="N312" s="5">
        <f t="shared" si="78"/>
        <v>19.48</v>
      </c>
      <c r="O312" s="1">
        <v>45</v>
      </c>
      <c r="P312">
        <f t="shared" si="85"/>
        <v>4.4999999999999998E-2</v>
      </c>
      <c r="Q312" s="3" t="s">
        <v>445</v>
      </c>
      <c r="R312" t="str">
        <f t="shared" si="86"/>
        <v>20/01/2015</v>
      </c>
      <c r="S312">
        <f t="shared" si="79"/>
        <v>2015</v>
      </c>
      <c r="T312">
        <f t="shared" si="80"/>
        <v>1</v>
      </c>
      <c r="U312" t="str">
        <f t="shared" si="81"/>
        <v>01</v>
      </c>
      <c r="V312">
        <f t="shared" si="82"/>
        <v>20</v>
      </c>
      <c r="W312" t="str">
        <f t="shared" si="83"/>
        <v>20</v>
      </c>
      <c r="X312" t="str">
        <f t="shared" si="84"/>
        <v>https://api.geomagnetism.ga.gov.au/agrf?latd=-37&amp;latm=29&amp;lats=11.66&amp;lond=140&amp;lonm=29&amp;lons=19.48&amp;year=2015&amp;month=01&amp;day=20&amp;elev=0.045&amp;Ein=D&amp;Ein=d</v>
      </c>
    </row>
    <row r="313" spans="1:24" ht="17" x14ac:dyDescent="0.25">
      <c r="A313" s="1" t="s">
        <v>427</v>
      </c>
      <c r="B313" s="1">
        <v>-37.47242</v>
      </c>
      <c r="C313" s="1">
        <v>140.08148</v>
      </c>
      <c r="D313" t="s">
        <v>1046</v>
      </c>
      <c r="E313" t="s">
        <v>1047</v>
      </c>
      <c r="F313" t="str">
        <f t="shared" si="70"/>
        <v>-37° 28' 20.71"</v>
      </c>
      <c r="G313" t="str">
        <f t="shared" si="71"/>
        <v>140° 4' 53.33"</v>
      </c>
      <c r="H313" s="5">
        <f t="shared" si="72"/>
        <v>37</v>
      </c>
      <c r="I313" s="5">
        <f t="shared" si="73"/>
        <v>-37</v>
      </c>
      <c r="J313" s="5">
        <f t="shared" si="74"/>
        <v>28</v>
      </c>
      <c r="K313" s="5">
        <f t="shared" si="75"/>
        <v>20.71</v>
      </c>
      <c r="L313" s="5">
        <f t="shared" si="76"/>
        <v>140</v>
      </c>
      <c r="M313" s="5">
        <f t="shared" si="77"/>
        <v>4</v>
      </c>
      <c r="N313" s="5">
        <f t="shared" si="78"/>
        <v>53.33</v>
      </c>
      <c r="O313" s="1">
        <v>0</v>
      </c>
      <c r="P313">
        <f t="shared" si="85"/>
        <v>0</v>
      </c>
      <c r="Q313" s="3" t="s">
        <v>445</v>
      </c>
      <c r="R313" t="str">
        <f t="shared" si="86"/>
        <v>20/01/2015</v>
      </c>
      <c r="S313">
        <f t="shared" si="79"/>
        <v>2015</v>
      </c>
      <c r="T313">
        <f t="shared" si="80"/>
        <v>1</v>
      </c>
      <c r="U313" t="str">
        <f t="shared" si="81"/>
        <v>01</v>
      </c>
      <c r="V313">
        <f t="shared" si="82"/>
        <v>20</v>
      </c>
      <c r="W313" t="str">
        <f t="shared" si="83"/>
        <v>20</v>
      </c>
      <c r="X313" t="str">
        <f t="shared" si="84"/>
        <v>https://api.geomagnetism.ga.gov.au/agrf?latd=-37&amp;latm=28&amp;lats=20.71&amp;lond=140&amp;lonm=4&amp;lons=53.33&amp;year=2015&amp;month=01&amp;day=20&amp;elev=0&amp;Ein=D&amp;Ein=d</v>
      </c>
    </row>
    <row r="314" spans="1:24" ht="17" x14ac:dyDescent="0.25">
      <c r="A314" s="1" t="s">
        <v>428</v>
      </c>
      <c r="B314" s="1">
        <v>-37.471690000000002</v>
      </c>
      <c r="C314" s="1">
        <v>140.10169999999999</v>
      </c>
      <c r="D314" t="s">
        <v>1048</v>
      </c>
      <c r="E314" t="s">
        <v>1049</v>
      </c>
      <c r="F314" t="str">
        <f t="shared" si="70"/>
        <v>-37° 28' 18.08"</v>
      </c>
      <c r="G314" t="str">
        <f t="shared" si="71"/>
        <v>140° 6' 6.12"</v>
      </c>
      <c r="H314" s="5">
        <f t="shared" si="72"/>
        <v>37</v>
      </c>
      <c r="I314" s="5">
        <f t="shared" si="73"/>
        <v>-37</v>
      </c>
      <c r="J314" s="5">
        <f t="shared" si="74"/>
        <v>28</v>
      </c>
      <c r="K314" s="5">
        <f t="shared" si="75"/>
        <v>18.079999999999998</v>
      </c>
      <c r="L314" s="5">
        <f t="shared" si="76"/>
        <v>140</v>
      </c>
      <c r="M314" s="5">
        <f t="shared" si="77"/>
        <v>6</v>
      </c>
      <c r="N314" s="5">
        <f t="shared" si="78"/>
        <v>6.12</v>
      </c>
      <c r="O314" s="1">
        <v>0</v>
      </c>
      <c r="P314">
        <f t="shared" si="85"/>
        <v>0</v>
      </c>
      <c r="Q314" s="3" t="s">
        <v>446</v>
      </c>
      <c r="R314" t="str">
        <f t="shared" si="86"/>
        <v>03/08/2015</v>
      </c>
      <c r="S314">
        <f t="shared" si="79"/>
        <v>2015</v>
      </c>
      <c r="T314">
        <f t="shared" si="80"/>
        <v>8</v>
      </c>
      <c r="U314" t="str">
        <f t="shared" si="81"/>
        <v>08</v>
      </c>
      <c r="V314">
        <f t="shared" si="82"/>
        <v>3</v>
      </c>
      <c r="W314" t="str">
        <f t="shared" si="83"/>
        <v>03</v>
      </c>
      <c r="X314" t="str">
        <f t="shared" si="84"/>
        <v>https://api.geomagnetism.ga.gov.au/agrf?latd=-37&amp;latm=28&amp;lats=18.08&amp;lond=140&amp;lonm=6&amp;lons=6.12&amp;year=2015&amp;month=08&amp;day=03&amp;elev=0&amp;Ein=D&amp;Ein=d</v>
      </c>
    </row>
    <row r="315" spans="1:24" ht="17" x14ac:dyDescent="0.25">
      <c r="A315" s="1" t="s">
        <v>429</v>
      </c>
      <c r="B315" s="1">
        <v>-37.009720000000002</v>
      </c>
      <c r="C315" s="1">
        <v>140.50548000000001</v>
      </c>
      <c r="D315" t="s">
        <v>1050</v>
      </c>
      <c r="E315" t="s">
        <v>1051</v>
      </c>
      <c r="F315" t="str">
        <f t="shared" si="70"/>
        <v>-37° 0' 34.99"</v>
      </c>
      <c r="G315" t="str">
        <f t="shared" si="71"/>
        <v>140° 30' 19.73"</v>
      </c>
      <c r="H315" s="5">
        <f t="shared" si="72"/>
        <v>37</v>
      </c>
      <c r="I315" s="5">
        <f t="shared" si="73"/>
        <v>-37</v>
      </c>
      <c r="J315" s="5">
        <f t="shared" si="74"/>
        <v>0</v>
      </c>
      <c r="K315" s="5">
        <f t="shared" si="75"/>
        <v>34.99</v>
      </c>
      <c r="L315" s="5">
        <f t="shared" si="76"/>
        <v>140</v>
      </c>
      <c r="M315" s="5">
        <f t="shared" si="77"/>
        <v>30</v>
      </c>
      <c r="N315" s="5">
        <f t="shared" si="78"/>
        <v>19.73</v>
      </c>
      <c r="O315" s="1">
        <v>50</v>
      </c>
      <c r="P315">
        <f t="shared" si="85"/>
        <v>0.05</v>
      </c>
      <c r="Q315" s="3" t="s">
        <v>447</v>
      </c>
      <c r="R315" t="str">
        <f t="shared" si="86"/>
        <v>19/01/2015</v>
      </c>
      <c r="S315">
        <f t="shared" si="79"/>
        <v>2015</v>
      </c>
      <c r="T315">
        <f t="shared" si="80"/>
        <v>1</v>
      </c>
      <c r="U315" t="str">
        <f t="shared" si="81"/>
        <v>01</v>
      </c>
      <c r="V315">
        <f t="shared" si="82"/>
        <v>19</v>
      </c>
      <c r="W315" t="str">
        <f t="shared" si="83"/>
        <v>19</v>
      </c>
      <c r="X315" t="str">
        <f t="shared" si="84"/>
        <v>https://api.geomagnetism.ga.gov.au/agrf?latd=-37&amp;latm=0&amp;lats=34.99&amp;lond=140&amp;lonm=30&amp;lons=19.73&amp;year=2015&amp;month=01&amp;day=19&amp;elev=0.05&amp;Ein=D&amp;Ein=d</v>
      </c>
    </row>
    <row r="316" spans="1:24" ht="17" x14ac:dyDescent="0.25">
      <c r="A316" s="1" t="s">
        <v>430</v>
      </c>
      <c r="B316" s="1">
        <v>-37.0899</v>
      </c>
      <c r="C316" s="1">
        <v>140.00174999999999</v>
      </c>
      <c r="D316" t="s">
        <v>1052</v>
      </c>
      <c r="E316" t="s">
        <v>1053</v>
      </c>
      <c r="F316" t="str">
        <f t="shared" si="70"/>
        <v>-37° 5' 23.64"</v>
      </c>
      <c r="G316" t="str">
        <f t="shared" si="71"/>
        <v>140° 0' 6.30"</v>
      </c>
      <c r="H316" s="5">
        <f t="shared" si="72"/>
        <v>37</v>
      </c>
      <c r="I316" s="5">
        <f t="shared" si="73"/>
        <v>-37</v>
      </c>
      <c r="J316" s="5">
        <f t="shared" si="74"/>
        <v>5</v>
      </c>
      <c r="K316" s="5">
        <f t="shared" si="75"/>
        <v>23.64</v>
      </c>
      <c r="L316" s="5">
        <f t="shared" si="76"/>
        <v>140</v>
      </c>
      <c r="M316" s="5">
        <f t="shared" si="77"/>
        <v>0</v>
      </c>
      <c r="N316" s="5">
        <f t="shared" si="78"/>
        <v>6.3</v>
      </c>
      <c r="O316" s="1">
        <v>2</v>
      </c>
      <c r="P316">
        <f t="shared" si="85"/>
        <v>2E-3</v>
      </c>
      <c r="Q316" s="3" t="s">
        <v>447</v>
      </c>
      <c r="R316" t="str">
        <f t="shared" si="86"/>
        <v>19/01/2015</v>
      </c>
      <c r="S316">
        <f t="shared" si="79"/>
        <v>2015</v>
      </c>
      <c r="T316">
        <f t="shared" si="80"/>
        <v>1</v>
      </c>
      <c r="U316" t="str">
        <f t="shared" si="81"/>
        <v>01</v>
      </c>
      <c r="V316">
        <f t="shared" si="82"/>
        <v>19</v>
      </c>
      <c r="W316" t="str">
        <f t="shared" si="83"/>
        <v>19</v>
      </c>
      <c r="X316" t="str">
        <f t="shared" si="84"/>
        <v>https://api.geomagnetism.ga.gov.au/agrf?latd=-37&amp;latm=5&amp;lats=23.64&amp;lond=140&amp;lonm=0&amp;lons=6.3&amp;year=2015&amp;month=01&amp;day=19&amp;elev=0.002&amp;Ein=D&amp;Ein=d</v>
      </c>
    </row>
    <row r="317" spans="1:24" ht="17" x14ac:dyDescent="0.25">
      <c r="A317" s="1" t="s">
        <v>431</v>
      </c>
      <c r="B317" s="1">
        <v>-36.484099999999998</v>
      </c>
      <c r="C317" s="1">
        <v>140.51506000000001</v>
      </c>
      <c r="D317" t="s">
        <v>1054</v>
      </c>
      <c r="E317" t="s">
        <v>1055</v>
      </c>
      <c r="F317" t="str">
        <f t="shared" si="70"/>
        <v>-36° 29' 2.76"</v>
      </c>
      <c r="G317" t="str">
        <f t="shared" si="71"/>
        <v>140° 30' 54.22"</v>
      </c>
      <c r="H317" s="5">
        <f t="shared" si="72"/>
        <v>36</v>
      </c>
      <c r="I317" s="5">
        <f t="shared" si="73"/>
        <v>-36</v>
      </c>
      <c r="J317" s="5">
        <f t="shared" si="74"/>
        <v>29</v>
      </c>
      <c r="K317" s="5">
        <f t="shared" si="75"/>
        <v>2.76</v>
      </c>
      <c r="L317" s="5">
        <f t="shared" si="76"/>
        <v>140</v>
      </c>
      <c r="M317" s="5">
        <f t="shared" si="77"/>
        <v>30</v>
      </c>
      <c r="N317" s="5">
        <f t="shared" si="78"/>
        <v>54.22</v>
      </c>
      <c r="O317" s="1">
        <v>77</v>
      </c>
      <c r="P317">
        <f t="shared" si="85"/>
        <v>7.6999999999999999E-2</v>
      </c>
      <c r="Q317" s="3" t="s">
        <v>445</v>
      </c>
      <c r="R317" t="str">
        <f t="shared" si="86"/>
        <v>20/01/2015</v>
      </c>
      <c r="S317">
        <f t="shared" si="79"/>
        <v>2015</v>
      </c>
      <c r="T317">
        <f t="shared" si="80"/>
        <v>1</v>
      </c>
      <c r="U317" t="str">
        <f t="shared" si="81"/>
        <v>01</v>
      </c>
      <c r="V317">
        <f t="shared" si="82"/>
        <v>20</v>
      </c>
      <c r="W317" t="str">
        <f t="shared" si="83"/>
        <v>20</v>
      </c>
      <c r="X317" t="str">
        <f t="shared" si="84"/>
        <v>https://api.geomagnetism.ga.gov.au/agrf?latd=-36&amp;latm=29&amp;lats=2.76&amp;lond=140&amp;lonm=30&amp;lons=54.22&amp;year=2015&amp;month=01&amp;day=20&amp;elev=0.077&amp;Ein=D&amp;Ein=d</v>
      </c>
    </row>
    <row r="318" spans="1:24" ht="17" x14ac:dyDescent="0.25">
      <c r="A318" s="1" t="s">
        <v>432</v>
      </c>
      <c r="B318" s="1">
        <v>-36.560890000000001</v>
      </c>
      <c r="C318" s="1">
        <v>139.93453</v>
      </c>
      <c r="D318" t="s">
        <v>1056</v>
      </c>
      <c r="E318" t="s">
        <v>1057</v>
      </c>
      <c r="F318" t="str">
        <f t="shared" si="70"/>
        <v>-36° 33' 39.20"</v>
      </c>
      <c r="G318" t="str">
        <f t="shared" si="71"/>
        <v>139° 56' 4.31"</v>
      </c>
      <c r="H318" s="5">
        <f t="shared" si="72"/>
        <v>36</v>
      </c>
      <c r="I318" s="5">
        <f t="shared" si="73"/>
        <v>-36</v>
      </c>
      <c r="J318" s="5">
        <f t="shared" si="74"/>
        <v>33</v>
      </c>
      <c r="K318" s="5">
        <f t="shared" si="75"/>
        <v>39.200000000000003</v>
      </c>
      <c r="L318" s="5">
        <f t="shared" si="76"/>
        <v>139</v>
      </c>
      <c r="M318" s="5">
        <f t="shared" si="77"/>
        <v>56</v>
      </c>
      <c r="N318" s="5">
        <f t="shared" si="78"/>
        <v>4.3099999999999996</v>
      </c>
      <c r="O318" s="1">
        <v>22</v>
      </c>
      <c r="P318">
        <f t="shared" si="85"/>
        <v>2.1999999999999999E-2</v>
      </c>
      <c r="Q318" s="3" t="s">
        <v>447</v>
      </c>
      <c r="R318" t="str">
        <f t="shared" si="86"/>
        <v>19/01/2015</v>
      </c>
      <c r="S318">
        <f t="shared" si="79"/>
        <v>2015</v>
      </c>
      <c r="T318">
        <f t="shared" si="80"/>
        <v>1</v>
      </c>
      <c r="U318" t="str">
        <f t="shared" si="81"/>
        <v>01</v>
      </c>
      <c r="V318">
        <f t="shared" si="82"/>
        <v>19</v>
      </c>
      <c r="W318" t="str">
        <f t="shared" si="83"/>
        <v>19</v>
      </c>
      <c r="X318" t="str">
        <f t="shared" si="84"/>
        <v>https://api.geomagnetism.ga.gov.au/agrf?latd=-36&amp;latm=33&amp;lats=39.2&amp;lond=139&amp;lonm=56&amp;lons=4.31&amp;year=2015&amp;month=01&amp;day=19&amp;elev=0.022&amp;Ein=D&amp;Ein=d</v>
      </c>
    </row>
    <row r="319" spans="1:24" ht="17" x14ac:dyDescent="0.25">
      <c r="A319" s="1" t="s">
        <v>433</v>
      </c>
      <c r="B319" s="1">
        <v>-35.976300000000002</v>
      </c>
      <c r="C319" s="1">
        <v>140.48570000000001</v>
      </c>
      <c r="D319" t="s">
        <v>1058</v>
      </c>
      <c r="E319" t="s">
        <v>1059</v>
      </c>
      <c r="F319" t="str">
        <f t="shared" si="70"/>
        <v>-35° 58' 34.68"</v>
      </c>
      <c r="G319" t="str">
        <f t="shared" si="71"/>
        <v>140° 29' 8.52"</v>
      </c>
      <c r="H319" s="5">
        <f t="shared" si="72"/>
        <v>35</v>
      </c>
      <c r="I319" s="5">
        <f t="shared" si="73"/>
        <v>-35</v>
      </c>
      <c r="J319" s="5">
        <f t="shared" si="74"/>
        <v>58</v>
      </c>
      <c r="K319" s="5">
        <f t="shared" si="75"/>
        <v>34.68</v>
      </c>
      <c r="L319" s="5">
        <f t="shared" si="76"/>
        <v>140</v>
      </c>
      <c r="M319" s="5">
        <f t="shared" si="77"/>
        <v>29</v>
      </c>
      <c r="N319" s="5">
        <f t="shared" si="78"/>
        <v>8.52</v>
      </c>
      <c r="O319" s="1">
        <v>73</v>
      </c>
      <c r="P319">
        <f t="shared" si="85"/>
        <v>7.2999999999999995E-2</v>
      </c>
      <c r="Q319" s="3" t="s">
        <v>447</v>
      </c>
      <c r="R319" t="str">
        <f t="shared" si="86"/>
        <v>19/01/2015</v>
      </c>
      <c r="S319">
        <f t="shared" si="79"/>
        <v>2015</v>
      </c>
      <c r="T319">
        <f t="shared" si="80"/>
        <v>1</v>
      </c>
      <c r="U319" t="str">
        <f t="shared" si="81"/>
        <v>01</v>
      </c>
      <c r="V319">
        <f t="shared" si="82"/>
        <v>19</v>
      </c>
      <c r="W319" t="str">
        <f t="shared" si="83"/>
        <v>19</v>
      </c>
      <c r="X319" t="str">
        <f t="shared" si="84"/>
        <v>https://api.geomagnetism.ga.gov.au/agrf?latd=-35&amp;latm=58&amp;lats=34.68&amp;lond=140&amp;lonm=29&amp;lons=8.52&amp;year=2015&amp;month=01&amp;day=19&amp;elev=0.073&amp;Ein=D&amp;Ein=d</v>
      </c>
    </row>
    <row r="320" spans="1:24" ht="17" x14ac:dyDescent="0.25">
      <c r="A320" s="1" t="s">
        <v>434</v>
      </c>
      <c r="B320" s="1">
        <v>-36.008099999999999</v>
      </c>
      <c r="C320" s="1">
        <v>140.02047999999999</v>
      </c>
      <c r="D320" t="s">
        <v>1060</v>
      </c>
      <c r="E320" t="s">
        <v>1061</v>
      </c>
      <c r="F320" t="str">
        <f t="shared" si="70"/>
        <v>-36° 0' 29.16"</v>
      </c>
      <c r="G320" t="str">
        <f t="shared" si="71"/>
        <v>140° 1' 13.73"</v>
      </c>
      <c r="H320" s="5">
        <f t="shared" si="72"/>
        <v>36</v>
      </c>
      <c r="I320" s="5">
        <f t="shared" si="73"/>
        <v>-36</v>
      </c>
      <c r="J320" s="5">
        <f t="shared" si="74"/>
        <v>0</v>
      </c>
      <c r="K320" s="5">
        <f t="shared" si="75"/>
        <v>29.16</v>
      </c>
      <c r="L320" s="5">
        <f t="shared" si="76"/>
        <v>140</v>
      </c>
      <c r="M320" s="5">
        <f t="shared" si="77"/>
        <v>1</v>
      </c>
      <c r="N320" s="5">
        <f t="shared" si="78"/>
        <v>13.73</v>
      </c>
      <c r="O320" s="1">
        <v>87</v>
      </c>
      <c r="P320">
        <f t="shared" si="85"/>
        <v>8.6999999999999994E-2</v>
      </c>
      <c r="Q320" s="3" t="s">
        <v>448</v>
      </c>
      <c r="R320" t="str">
        <f t="shared" si="86"/>
        <v>18/01/2015</v>
      </c>
      <c r="S320">
        <f t="shared" si="79"/>
        <v>2015</v>
      </c>
      <c r="T320">
        <f t="shared" si="80"/>
        <v>1</v>
      </c>
      <c r="U320" t="str">
        <f t="shared" si="81"/>
        <v>01</v>
      </c>
      <c r="V320">
        <f t="shared" si="82"/>
        <v>18</v>
      </c>
      <c r="W320" t="str">
        <f t="shared" si="83"/>
        <v>18</v>
      </c>
      <c r="X320" t="str">
        <f t="shared" si="84"/>
        <v>https://api.geomagnetism.ga.gov.au/agrf?latd=-36&amp;latm=0&amp;lats=29.16&amp;lond=140&amp;lonm=1&amp;lons=13.73&amp;year=2015&amp;month=01&amp;day=18&amp;elev=0.087&amp;Ein=D&amp;Ein=d</v>
      </c>
    </row>
    <row r="321" spans="1:24" ht="17" x14ac:dyDescent="0.25">
      <c r="A321" s="1" t="s">
        <v>435</v>
      </c>
      <c r="B321" s="1">
        <v>-35.99109</v>
      </c>
      <c r="C321" s="1">
        <v>140.02773999999999</v>
      </c>
      <c r="D321" t="s">
        <v>1062</v>
      </c>
      <c r="E321" t="s">
        <v>1063</v>
      </c>
      <c r="F321" t="str">
        <f t="shared" si="70"/>
        <v>-35° 59' 27.92"</v>
      </c>
      <c r="G321" t="str">
        <f t="shared" si="71"/>
        <v>140° 1' 39.86"</v>
      </c>
      <c r="H321" s="5">
        <f t="shared" si="72"/>
        <v>35</v>
      </c>
      <c r="I321" s="5">
        <f t="shared" si="73"/>
        <v>-35</v>
      </c>
      <c r="J321" s="5">
        <f t="shared" si="74"/>
        <v>59</v>
      </c>
      <c r="K321" s="5">
        <f t="shared" si="75"/>
        <v>27.92</v>
      </c>
      <c r="L321" s="5">
        <f t="shared" si="76"/>
        <v>140</v>
      </c>
      <c r="M321" s="5">
        <f t="shared" si="77"/>
        <v>1</v>
      </c>
      <c r="N321" s="5">
        <f t="shared" si="78"/>
        <v>39.86</v>
      </c>
      <c r="O321" s="1">
        <v>87</v>
      </c>
      <c r="P321">
        <f t="shared" si="85"/>
        <v>8.6999999999999994E-2</v>
      </c>
      <c r="Q321" s="3" t="s">
        <v>446</v>
      </c>
      <c r="R321" t="str">
        <f t="shared" si="86"/>
        <v>03/08/2015</v>
      </c>
      <c r="S321">
        <f t="shared" si="79"/>
        <v>2015</v>
      </c>
      <c r="T321">
        <f t="shared" si="80"/>
        <v>8</v>
      </c>
      <c r="U321" t="str">
        <f t="shared" si="81"/>
        <v>08</v>
      </c>
      <c r="V321">
        <f t="shared" si="82"/>
        <v>3</v>
      </c>
      <c r="W321" t="str">
        <f t="shared" si="83"/>
        <v>03</v>
      </c>
      <c r="X321" t="str">
        <f t="shared" si="84"/>
        <v>https://api.geomagnetism.ga.gov.au/agrf?latd=-35&amp;latm=59&amp;lats=27.92&amp;lond=140&amp;lonm=1&amp;lons=39.86&amp;year=2015&amp;month=08&amp;day=03&amp;elev=0.087&amp;Ein=D&amp;Ein=d</v>
      </c>
    </row>
    <row r="322" spans="1:24" ht="17" x14ac:dyDescent="0.25">
      <c r="A322" s="1" t="s">
        <v>436</v>
      </c>
      <c r="B322" s="1">
        <v>-35.79466</v>
      </c>
      <c r="C322" s="1">
        <v>139.56672</v>
      </c>
      <c r="D322" t="s">
        <v>1064</v>
      </c>
      <c r="E322" t="s">
        <v>1065</v>
      </c>
      <c r="F322" t="str">
        <f t="shared" si="70"/>
        <v>-35° 47' 40.78"</v>
      </c>
      <c r="G322" t="str">
        <f t="shared" si="71"/>
        <v>139° 34' 0.19"</v>
      </c>
      <c r="H322" s="5">
        <f t="shared" si="72"/>
        <v>35</v>
      </c>
      <c r="I322" s="5">
        <f t="shared" si="73"/>
        <v>-35</v>
      </c>
      <c r="J322" s="5">
        <f t="shared" si="74"/>
        <v>47</v>
      </c>
      <c r="K322" s="5">
        <f t="shared" si="75"/>
        <v>40.78</v>
      </c>
      <c r="L322" s="5">
        <f t="shared" si="76"/>
        <v>139</v>
      </c>
      <c r="M322" s="5">
        <f t="shared" si="77"/>
        <v>34</v>
      </c>
      <c r="N322" s="5">
        <f t="shared" si="78"/>
        <v>0.19</v>
      </c>
      <c r="O322" s="1">
        <v>10</v>
      </c>
      <c r="P322">
        <f t="shared" si="85"/>
        <v>0.01</v>
      </c>
      <c r="Q322" s="3" t="s">
        <v>448</v>
      </c>
      <c r="R322" t="str">
        <f t="shared" si="86"/>
        <v>18/01/2015</v>
      </c>
      <c r="S322">
        <f t="shared" si="79"/>
        <v>2015</v>
      </c>
      <c r="T322">
        <f t="shared" si="80"/>
        <v>1</v>
      </c>
      <c r="U322" t="str">
        <f t="shared" si="81"/>
        <v>01</v>
      </c>
      <c r="V322">
        <f t="shared" si="82"/>
        <v>18</v>
      </c>
      <c r="W322" t="str">
        <f t="shared" si="83"/>
        <v>18</v>
      </c>
      <c r="X322" t="str">
        <f t="shared" si="84"/>
        <v>https://api.geomagnetism.ga.gov.au/agrf?latd=-35&amp;latm=47&amp;lats=40.78&amp;lond=139&amp;lonm=34&amp;lons=0.19&amp;year=2015&amp;month=01&amp;day=18&amp;elev=0.01&amp;Ein=D&amp;Ein=d</v>
      </c>
    </row>
    <row r="323" spans="1:24" ht="17" x14ac:dyDescent="0.25">
      <c r="A323" s="1" t="s">
        <v>460</v>
      </c>
      <c r="B323" s="1">
        <v>-35.485750000000003</v>
      </c>
      <c r="C323" s="1">
        <v>140.59331</v>
      </c>
      <c r="D323" t="s">
        <v>1066</v>
      </c>
      <c r="E323" t="s">
        <v>1067</v>
      </c>
      <c r="F323" t="str">
        <f t="shared" ref="F323:F365" si="87">SUBSTITUTE(D323,"¬∞","°")</f>
        <v>-35° 29' 8.70"</v>
      </c>
      <c r="G323" t="str">
        <f t="shared" ref="G323:G365" si="88">SUBSTITUTE(E323,"¬∞","°")</f>
        <v>140° 35' 35.92"</v>
      </c>
      <c r="H323" s="5">
        <f t="shared" ref="H323:H365" si="89">IF(LEFT(F323,1)="-", -1, 1) * VALUE(LEFT(F323, FIND("°", F323)-1))</f>
        <v>35</v>
      </c>
      <c r="I323" s="5">
        <f t="shared" ref="I323:I365" si="90">-H323</f>
        <v>-35</v>
      </c>
      <c r="J323" s="5">
        <f t="shared" ref="J323:J365" si="91">VALUE(MID(F323, FIND("°",F323)+2, FIND("'",F323)-FIND("°", F323)-2))</f>
        <v>29</v>
      </c>
      <c r="K323" s="5">
        <f t="shared" ref="K323:K365" si="92">VALUE(MID(F323, FIND("'", F323)+2, FIND("""", F323)-FIND("'", F323)-2))</f>
        <v>8.6999999999999993</v>
      </c>
      <c r="L323" s="5">
        <f t="shared" ref="L323:L365" si="93">IF(LEFT(G323,1)="-", -1, 1) * VALUE(LEFT(G323, FIND("°", G323)-1))</f>
        <v>140</v>
      </c>
      <c r="M323" s="5">
        <f t="shared" ref="M323:M365" si="94">VALUE(MID(G323, FIND("°",G323)+2, FIND("'",G323)-FIND("°", G323)-2))</f>
        <v>35</v>
      </c>
      <c r="N323" s="5">
        <f t="shared" ref="N323:N365" si="95">VALUE(MID(G323, FIND("'", G323)+2, FIND("""",G323)-FIND("'", G323)-2))</f>
        <v>35.92</v>
      </c>
      <c r="O323" s="1">
        <v>105</v>
      </c>
      <c r="P323">
        <f t="shared" si="85"/>
        <v>0.105</v>
      </c>
      <c r="Q323" s="3" t="s">
        <v>449</v>
      </c>
      <c r="R323" t="str">
        <f t="shared" si="86"/>
        <v>18/12/2014</v>
      </c>
      <c r="S323">
        <f t="shared" ref="S323:S365" si="96">YEAR(R323)</f>
        <v>2014</v>
      </c>
      <c r="T323">
        <f t="shared" ref="T323:T365" si="97">MONTH(R323)</f>
        <v>12</v>
      </c>
      <c r="U323" t="str">
        <f t="shared" ref="U323:U365" si="98">TEXT(T323, "00")</f>
        <v>12</v>
      </c>
      <c r="V323">
        <f t="shared" ref="V323:V365" si="99">DAY(R323)</f>
        <v>18</v>
      </c>
      <c r="W323" t="str">
        <f t="shared" ref="W323:W365" si="100">TEXT(V323,"00")</f>
        <v>18</v>
      </c>
      <c r="X323" t="str">
        <f t="shared" ref="X323:X365" si="101">CONCATENATE(
    "https://api.geomagnetism.ga.gov.au/agrf?",
    "latd=", I323,
    "&amp;latm=", J323,
    "&amp;lats=", K323,
    "&amp;lond=", L323,
    "&amp;lonm=", M323,
    "&amp;lons=", N323,
    "&amp;year=", S323,
    "&amp;month=", U323,
    "&amp;day=", W323,
    "&amp;elev=", P323,
    "&amp;Ein=D",
    "&amp;Ein=d"
)</f>
        <v>https://api.geomagnetism.ga.gov.au/agrf?latd=-35&amp;latm=29&amp;lats=8.7&amp;lond=140&amp;lonm=35&amp;lons=35.92&amp;year=2014&amp;month=12&amp;day=18&amp;elev=0.105&amp;Ein=D&amp;Ein=d</v>
      </c>
    </row>
    <row r="324" spans="1:24" ht="17" x14ac:dyDescent="0.25">
      <c r="A324" s="1" t="s">
        <v>461</v>
      </c>
      <c r="B324" s="1">
        <v>-35.488962999999998</v>
      </c>
      <c r="C324" s="1">
        <v>139.988777</v>
      </c>
      <c r="D324" t="s">
        <v>1068</v>
      </c>
      <c r="E324" t="s">
        <v>1069</v>
      </c>
      <c r="F324" t="str">
        <f t="shared" si="87"/>
        <v>-35° 29' 20.27"</v>
      </c>
      <c r="G324" t="str">
        <f t="shared" si="88"/>
        <v>139° 59' 19.60"</v>
      </c>
      <c r="H324" s="5">
        <f t="shared" si="89"/>
        <v>35</v>
      </c>
      <c r="I324" s="5">
        <f t="shared" si="90"/>
        <v>-35</v>
      </c>
      <c r="J324" s="5">
        <f t="shared" si="91"/>
        <v>29</v>
      </c>
      <c r="K324" s="5">
        <f t="shared" si="92"/>
        <v>20.27</v>
      </c>
      <c r="L324" s="5">
        <f t="shared" si="93"/>
        <v>139</v>
      </c>
      <c r="M324" s="5">
        <f t="shared" si="94"/>
        <v>59</v>
      </c>
      <c r="N324" s="5">
        <f t="shared" si="95"/>
        <v>19.600000000000001</v>
      </c>
      <c r="O324" s="1">
        <v>25</v>
      </c>
      <c r="P324">
        <f t="shared" si="85"/>
        <v>2.5000000000000001E-2</v>
      </c>
      <c r="Q324" s="3" t="s">
        <v>449</v>
      </c>
      <c r="R324" t="str">
        <f t="shared" si="86"/>
        <v>18/12/2014</v>
      </c>
      <c r="S324">
        <f t="shared" si="96"/>
        <v>2014</v>
      </c>
      <c r="T324">
        <f t="shared" si="97"/>
        <v>12</v>
      </c>
      <c r="U324" t="str">
        <f t="shared" si="98"/>
        <v>12</v>
      </c>
      <c r="V324">
        <f t="shared" si="99"/>
        <v>18</v>
      </c>
      <c r="W324" t="str">
        <f t="shared" si="100"/>
        <v>18</v>
      </c>
      <c r="X324" t="str">
        <f t="shared" si="101"/>
        <v>https://api.geomagnetism.ga.gov.au/agrf?latd=-35&amp;latm=29&amp;lats=20.27&amp;lond=139&amp;lonm=59&amp;lons=19.6&amp;year=2014&amp;month=12&amp;day=18&amp;elev=0.025&amp;Ein=D&amp;Ein=d</v>
      </c>
    </row>
    <row r="325" spans="1:24" ht="17" x14ac:dyDescent="0.25">
      <c r="A325" s="1" t="s">
        <v>437</v>
      </c>
      <c r="B325" s="1">
        <v>-35.498190000000001</v>
      </c>
      <c r="C325" s="1">
        <v>139.48586</v>
      </c>
      <c r="D325" t="s">
        <v>1070</v>
      </c>
      <c r="E325" t="s">
        <v>1071</v>
      </c>
      <c r="F325" t="str">
        <f t="shared" si="87"/>
        <v>-35° 29' 53.48"</v>
      </c>
      <c r="G325" t="str">
        <f t="shared" si="88"/>
        <v>139° 29' 9.10"</v>
      </c>
      <c r="H325" s="5">
        <f t="shared" si="89"/>
        <v>35</v>
      </c>
      <c r="I325" s="5">
        <f t="shared" si="90"/>
        <v>-35</v>
      </c>
      <c r="J325" s="5">
        <f t="shared" si="91"/>
        <v>29</v>
      </c>
      <c r="K325" s="5">
        <f t="shared" si="92"/>
        <v>53.48</v>
      </c>
      <c r="L325" s="5">
        <f t="shared" si="93"/>
        <v>139</v>
      </c>
      <c r="M325" s="5">
        <f t="shared" si="94"/>
        <v>29</v>
      </c>
      <c r="N325" s="5">
        <f t="shared" si="95"/>
        <v>9.1</v>
      </c>
      <c r="O325" s="1">
        <v>12</v>
      </c>
      <c r="P325">
        <f t="shared" si="85"/>
        <v>1.2E-2</v>
      </c>
      <c r="Q325" s="3" t="s">
        <v>448</v>
      </c>
      <c r="R325" t="str">
        <f t="shared" si="86"/>
        <v>18/01/2015</v>
      </c>
      <c r="S325">
        <f t="shared" si="96"/>
        <v>2015</v>
      </c>
      <c r="T325">
        <f t="shared" si="97"/>
        <v>1</v>
      </c>
      <c r="U325" t="str">
        <f t="shared" si="98"/>
        <v>01</v>
      </c>
      <c r="V325">
        <f t="shared" si="99"/>
        <v>18</v>
      </c>
      <c r="W325" t="str">
        <f t="shared" si="100"/>
        <v>18</v>
      </c>
      <c r="X325" t="str">
        <f t="shared" si="101"/>
        <v>https://api.geomagnetism.ga.gov.au/agrf?latd=-35&amp;latm=29&amp;lats=53.48&amp;lond=139&amp;lonm=29&amp;lons=9.1&amp;year=2015&amp;month=01&amp;day=18&amp;elev=0.012&amp;Ein=D&amp;Ein=d</v>
      </c>
    </row>
    <row r="326" spans="1:24" ht="17" x14ac:dyDescent="0.25">
      <c r="A326" s="1" t="s">
        <v>438</v>
      </c>
      <c r="B326" s="1">
        <v>-35.495339999999999</v>
      </c>
      <c r="C326" s="1">
        <v>139.00299999999999</v>
      </c>
      <c r="D326" t="s">
        <v>1072</v>
      </c>
      <c r="E326" t="s">
        <v>1073</v>
      </c>
      <c r="F326" t="str">
        <f t="shared" si="87"/>
        <v>-35° 29' 43.22"</v>
      </c>
      <c r="G326" t="str">
        <f t="shared" si="88"/>
        <v>139° 0' 10.80"</v>
      </c>
      <c r="H326" s="5">
        <f t="shared" si="89"/>
        <v>35</v>
      </c>
      <c r="I326" s="5">
        <f t="shared" si="90"/>
        <v>-35</v>
      </c>
      <c r="J326" s="5">
        <f t="shared" si="91"/>
        <v>29</v>
      </c>
      <c r="K326" s="5">
        <f t="shared" si="92"/>
        <v>43.22</v>
      </c>
      <c r="L326" s="5">
        <f t="shared" si="93"/>
        <v>139</v>
      </c>
      <c r="M326" s="5">
        <f t="shared" si="94"/>
        <v>0</v>
      </c>
      <c r="N326" s="5">
        <f t="shared" si="95"/>
        <v>10.8</v>
      </c>
      <c r="O326" s="1">
        <v>19</v>
      </c>
      <c r="P326">
        <f t="shared" si="85"/>
        <v>1.9E-2</v>
      </c>
      <c r="Q326" s="3" t="s">
        <v>448</v>
      </c>
      <c r="R326" t="str">
        <f t="shared" si="86"/>
        <v>18/01/2015</v>
      </c>
      <c r="S326">
        <f t="shared" si="96"/>
        <v>2015</v>
      </c>
      <c r="T326">
        <f t="shared" si="97"/>
        <v>1</v>
      </c>
      <c r="U326" t="str">
        <f t="shared" si="98"/>
        <v>01</v>
      </c>
      <c r="V326">
        <f t="shared" si="99"/>
        <v>18</v>
      </c>
      <c r="W326" t="str">
        <f t="shared" si="100"/>
        <v>18</v>
      </c>
      <c r="X326" t="str">
        <f t="shared" si="101"/>
        <v>https://api.geomagnetism.ga.gov.au/agrf?latd=-35&amp;latm=29&amp;lats=43.22&amp;lond=139&amp;lonm=0&amp;lons=10.8&amp;year=2015&amp;month=01&amp;day=18&amp;elev=0.019&amp;Ein=D&amp;Ein=d</v>
      </c>
    </row>
    <row r="327" spans="1:24" ht="17" x14ac:dyDescent="0.25">
      <c r="A327" s="1" t="s">
        <v>439</v>
      </c>
      <c r="B327" s="1">
        <v>-35.500250000000001</v>
      </c>
      <c r="C327" s="1">
        <v>138.51394999999999</v>
      </c>
      <c r="D327" t="s">
        <v>1074</v>
      </c>
      <c r="E327" t="s">
        <v>1075</v>
      </c>
      <c r="F327" t="str">
        <f t="shared" si="87"/>
        <v>-35° 30' 0.90"</v>
      </c>
      <c r="G327" t="str">
        <f t="shared" si="88"/>
        <v>138° 30' 50.22"</v>
      </c>
      <c r="H327" s="5">
        <f t="shared" si="89"/>
        <v>35</v>
      </c>
      <c r="I327" s="5">
        <f t="shared" si="90"/>
        <v>-35</v>
      </c>
      <c r="J327" s="5">
        <f t="shared" si="91"/>
        <v>30</v>
      </c>
      <c r="K327" s="5">
        <f t="shared" si="92"/>
        <v>0.9</v>
      </c>
      <c r="L327" s="5">
        <f t="shared" si="93"/>
        <v>138</v>
      </c>
      <c r="M327" s="5">
        <f t="shared" si="94"/>
        <v>30</v>
      </c>
      <c r="N327" s="5">
        <f t="shared" si="95"/>
        <v>50.22</v>
      </c>
      <c r="O327" s="1">
        <v>94</v>
      </c>
      <c r="P327">
        <f t="shared" si="85"/>
        <v>9.4E-2</v>
      </c>
      <c r="Q327" s="3" t="s">
        <v>450</v>
      </c>
      <c r="R327" t="str">
        <f t="shared" si="86"/>
        <v>21/01/2015</v>
      </c>
      <c r="S327">
        <f t="shared" si="96"/>
        <v>2015</v>
      </c>
      <c r="T327">
        <f t="shared" si="97"/>
        <v>1</v>
      </c>
      <c r="U327" t="str">
        <f t="shared" si="98"/>
        <v>01</v>
      </c>
      <c r="V327">
        <f t="shared" si="99"/>
        <v>21</v>
      </c>
      <c r="W327" t="str">
        <f t="shared" si="100"/>
        <v>21</v>
      </c>
      <c r="X327" t="str">
        <f t="shared" si="101"/>
        <v>https://api.geomagnetism.ga.gov.au/agrf?latd=-35&amp;latm=30&amp;lats=0.9&amp;lond=138&amp;lonm=30&amp;lons=50.22&amp;year=2015&amp;month=01&amp;day=21&amp;elev=0.094&amp;Ein=D&amp;Ein=d</v>
      </c>
    </row>
    <row r="328" spans="1:24" ht="17" x14ac:dyDescent="0.25">
      <c r="A328" s="1" t="s">
        <v>462</v>
      </c>
      <c r="B328" s="1">
        <v>-35.035615</v>
      </c>
      <c r="C328" s="1">
        <v>140.489135</v>
      </c>
      <c r="D328" t="s">
        <v>1076</v>
      </c>
      <c r="E328" t="s">
        <v>1077</v>
      </c>
      <c r="F328" t="str">
        <f t="shared" si="87"/>
        <v>-35° 2' 8.21"</v>
      </c>
      <c r="G328" t="str">
        <f t="shared" si="88"/>
        <v>140° 29' 20.89"</v>
      </c>
      <c r="H328" s="5">
        <f t="shared" si="89"/>
        <v>35</v>
      </c>
      <c r="I328" s="5">
        <f t="shared" si="90"/>
        <v>-35</v>
      </c>
      <c r="J328" s="5">
        <f t="shared" si="91"/>
        <v>2</v>
      </c>
      <c r="K328" s="5">
        <f t="shared" si="92"/>
        <v>8.2100000000000009</v>
      </c>
      <c r="L328" s="5">
        <f t="shared" si="93"/>
        <v>140</v>
      </c>
      <c r="M328" s="5">
        <f t="shared" si="94"/>
        <v>29</v>
      </c>
      <c r="N328" s="5">
        <f t="shared" si="95"/>
        <v>20.89</v>
      </c>
      <c r="O328" s="1">
        <v>79</v>
      </c>
      <c r="P328">
        <f t="shared" si="85"/>
        <v>7.9000000000000001E-2</v>
      </c>
      <c r="Q328" s="3" t="s">
        <v>449</v>
      </c>
      <c r="R328" t="str">
        <f t="shared" si="86"/>
        <v>18/12/2014</v>
      </c>
      <c r="S328">
        <f t="shared" si="96"/>
        <v>2014</v>
      </c>
      <c r="T328">
        <f t="shared" si="97"/>
        <v>12</v>
      </c>
      <c r="U328" t="str">
        <f t="shared" si="98"/>
        <v>12</v>
      </c>
      <c r="V328">
        <f t="shared" si="99"/>
        <v>18</v>
      </c>
      <c r="W328" t="str">
        <f t="shared" si="100"/>
        <v>18</v>
      </c>
      <c r="X328" t="str">
        <f t="shared" si="101"/>
        <v>https://api.geomagnetism.ga.gov.au/agrf?latd=-35&amp;latm=2&amp;lats=8.21&amp;lond=140&amp;lonm=29&amp;lons=20.89&amp;year=2014&amp;month=12&amp;day=18&amp;elev=0.079&amp;Ein=D&amp;Ein=d</v>
      </c>
    </row>
    <row r="329" spans="1:24" ht="17" x14ac:dyDescent="0.25">
      <c r="A329" s="1" t="s">
        <v>463</v>
      </c>
      <c r="B329" s="1">
        <v>-35.0045</v>
      </c>
      <c r="C329" s="1">
        <v>139.99982</v>
      </c>
      <c r="D329" t="s">
        <v>1078</v>
      </c>
      <c r="E329" t="s">
        <v>1079</v>
      </c>
      <c r="F329" t="str">
        <f t="shared" si="87"/>
        <v>-35° 0' 16.20"</v>
      </c>
      <c r="G329" t="str">
        <f t="shared" si="88"/>
        <v>139° 59' 59.35"</v>
      </c>
      <c r="H329" s="5">
        <f t="shared" si="89"/>
        <v>35</v>
      </c>
      <c r="I329" s="5">
        <f t="shared" si="90"/>
        <v>-35</v>
      </c>
      <c r="J329" s="5">
        <f t="shared" si="91"/>
        <v>0</v>
      </c>
      <c r="K329" s="5">
        <f t="shared" si="92"/>
        <v>16.2</v>
      </c>
      <c r="L329" s="5">
        <f t="shared" si="93"/>
        <v>139</v>
      </c>
      <c r="M329" s="5">
        <f t="shared" si="94"/>
        <v>59</v>
      </c>
      <c r="N329" s="5">
        <f t="shared" si="95"/>
        <v>59.35</v>
      </c>
      <c r="O329" s="1">
        <v>78</v>
      </c>
      <c r="P329">
        <f t="shared" si="85"/>
        <v>7.8E-2</v>
      </c>
      <c r="Q329" s="3" t="s">
        <v>451</v>
      </c>
      <c r="R329" t="str">
        <f t="shared" si="86"/>
        <v>17/12/2014</v>
      </c>
      <c r="S329">
        <f t="shared" si="96"/>
        <v>2014</v>
      </c>
      <c r="T329">
        <f t="shared" si="97"/>
        <v>12</v>
      </c>
      <c r="U329" t="str">
        <f t="shared" si="98"/>
        <v>12</v>
      </c>
      <c r="V329">
        <f t="shared" si="99"/>
        <v>17</v>
      </c>
      <c r="W329" t="str">
        <f t="shared" si="100"/>
        <v>17</v>
      </c>
      <c r="X329" t="str">
        <f t="shared" si="101"/>
        <v>https://api.geomagnetism.ga.gov.au/agrf?latd=-35&amp;latm=0&amp;lats=16.2&amp;lond=139&amp;lonm=59&amp;lons=59.35&amp;year=2014&amp;month=12&amp;day=17&amp;elev=0.078&amp;Ein=D&amp;Ein=d</v>
      </c>
    </row>
    <row r="330" spans="1:24" ht="17" x14ac:dyDescent="0.25">
      <c r="A330" s="1" t="s">
        <v>464</v>
      </c>
      <c r="B330" s="1">
        <v>-34.990921999999998</v>
      </c>
      <c r="C330" s="1">
        <v>139.47134199999999</v>
      </c>
      <c r="D330" t="s">
        <v>1080</v>
      </c>
      <c r="E330" t="s">
        <v>1081</v>
      </c>
      <c r="F330" t="str">
        <f t="shared" si="87"/>
        <v>-34° 59' 27.32"</v>
      </c>
      <c r="G330" t="str">
        <f t="shared" si="88"/>
        <v>139° 28' 16.83"</v>
      </c>
      <c r="H330" s="5">
        <f t="shared" si="89"/>
        <v>34</v>
      </c>
      <c r="I330" s="5">
        <f t="shared" si="90"/>
        <v>-34</v>
      </c>
      <c r="J330" s="5">
        <f t="shared" si="91"/>
        <v>59</v>
      </c>
      <c r="K330" s="5">
        <f t="shared" si="92"/>
        <v>27.32</v>
      </c>
      <c r="L330" s="5">
        <f t="shared" si="93"/>
        <v>139</v>
      </c>
      <c r="M330" s="5">
        <f t="shared" si="94"/>
        <v>28</v>
      </c>
      <c r="N330" s="5">
        <f t="shared" si="95"/>
        <v>16.829999999999998</v>
      </c>
      <c r="O330" s="1">
        <v>53</v>
      </c>
      <c r="P330">
        <f t="shared" si="85"/>
        <v>5.2999999999999999E-2</v>
      </c>
      <c r="Q330" s="3" t="s">
        <v>451</v>
      </c>
      <c r="R330" t="str">
        <f t="shared" si="86"/>
        <v>17/12/2014</v>
      </c>
      <c r="S330">
        <f t="shared" si="96"/>
        <v>2014</v>
      </c>
      <c r="T330">
        <f t="shared" si="97"/>
        <v>12</v>
      </c>
      <c r="U330" t="str">
        <f t="shared" si="98"/>
        <v>12</v>
      </c>
      <c r="V330">
        <f t="shared" si="99"/>
        <v>17</v>
      </c>
      <c r="W330" t="str">
        <f t="shared" si="100"/>
        <v>17</v>
      </c>
      <c r="X330" t="str">
        <f t="shared" si="101"/>
        <v>https://api.geomagnetism.ga.gov.au/agrf?latd=-34&amp;latm=59&amp;lats=27.32&amp;lond=139&amp;lonm=28&amp;lons=16.83&amp;year=2014&amp;month=12&amp;day=17&amp;elev=0.053&amp;Ein=D&amp;Ein=d</v>
      </c>
    </row>
    <row r="331" spans="1:24" ht="17" x14ac:dyDescent="0.25">
      <c r="A331" s="1" t="s">
        <v>440</v>
      </c>
      <c r="B331" s="1">
        <v>-35.00806</v>
      </c>
      <c r="C331" s="1">
        <v>139.00591</v>
      </c>
      <c r="D331" t="s">
        <v>1082</v>
      </c>
      <c r="E331" t="s">
        <v>1083</v>
      </c>
      <c r="F331" t="str">
        <f t="shared" si="87"/>
        <v>-35° 0' 29.02"</v>
      </c>
      <c r="G331" t="str">
        <f t="shared" si="88"/>
        <v>139° 0' 21.28"</v>
      </c>
      <c r="H331" s="5">
        <f t="shared" si="89"/>
        <v>35</v>
      </c>
      <c r="I331" s="5">
        <f t="shared" si="90"/>
        <v>-35</v>
      </c>
      <c r="J331" s="5">
        <f t="shared" si="91"/>
        <v>0</v>
      </c>
      <c r="K331" s="5">
        <f t="shared" si="92"/>
        <v>29.02</v>
      </c>
      <c r="L331" s="5">
        <f t="shared" si="93"/>
        <v>139</v>
      </c>
      <c r="M331" s="5">
        <f t="shared" si="94"/>
        <v>0</v>
      </c>
      <c r="N331" s="5">
        <f t="shared" si="95"/>
        <v>21.28</v>
      </c>
      <c r="O331" s="1">
        <v>272</v>
      </c>
      <c r="P331">
        <f t="shared" si="85"/>
        <v>0.27200000000000002</v>
      </c>
      <c r="Q331" s="3" t="s">
        <v>452</v>
      </c>
      <c r="R331" t="str">
        <f t="shared" si="86"/>
        <v>11/08/2014</v>
      </c>
      <c r="S331">
        <f t="shared" si="96"/>
        <v>2014</v>
      </c>
      <c r="T331">
        <f t="shared" si="97"/>
        <v>8</v>
      </c>
      <c r="U331" t="str">
        <f t="shared" si="98"/>
        <v>08</v>
      </c>
      <c r="V331">
        <f t="shared" si="99"/>
        <v>11</v>
      </c>
      <c r="W331" t="str">
        <f t="shared" si="100"/>
        <v>11</v>
      </c>
      <c r="X331" t="str">
        <f t="shared" si="101"/>
        <v>https://api.geomagnetism.ga.gov.au/agrf?latd=-35&amp;latm=0&amp;lats=29.02&amp;lond=139&amp;lonm=0&amp;lons=21.28&amp;year=2014&amp;month=08&amp;day=11&amp;elev=0.272&amp;Ein=D&amp;Ein=d</v>
      </c>
    </row>
    <row r="332" spans="1:24" ht="17" x14ac:dyDescent="0.25">
      <c r="A332" s="1" t="s">
        <v>441</v>
      </c>
      <c r="B332" s="1">
        <v>-35.008200000000002</v>
      </c>
      <c r="C332" s="1">
        <v>139.00566000000001</v>
      </c>
      <c r="D332" t="s">
        <v>1084</v>
      </c>
      <c r="E332" t="s">
        <v>1085</v>
      </c>
      <c r="F332" t="str">
        <f t="shared" si="87"/>
        <v>-35° 0' 29.52"</v>
      </c>
      <c r="G332" t="str">
        <f t="shared" si="88"/>
        <v>139° 0' 20.38"</v>
      </c>
      <c r="H332" s="5">
        <f t="shared" si="89"/>
        <v>35</v>
      </c>
      <c r="I332" s="5">
        <f t="shared" si="90"/>
        <v>-35</v>
      </c>
      <c r="J332" s="5">
        <f t="shared" si="91"/>
        <v>0</v>
      </c>
      <c r="K332" s="5">
        <f t="shared" si="92"/>
        <v>29.52</v>
      </c>
      <c r="L332" s="5">
        <f t="shared" si="93"/>
        <v>139</v>
      </c>
      <c r="M332" s="5">
        <f t="shared" si="94"/>
        <v>0</v>
      </c>
      <c r="N332" s="5">
        <f t="shared" si="95"/>
        <v>20.38</v>
      </c>
      <c r="O332" s="1">
        <v>272</v>
      </c>
      <c r="P332">
        <f t="shared" si="85"/>
        <v>0.27200000000000002</v>
      </c>
      <c r="Q332" s="3" t="s">
        <v>452</v>
      </c>
      <c r="R332" t="str">
        <f t="shared" si="86"/>
        <v>11/08/2014</v>
      </c>
      <c r="S332">
        <f t="shared" si="96"/>
        <v>2014</v>
      </c>
      <c r="T332">
        <f t="shared" si="97"/>
        <v>8</v>
      </c>
      <c r="U332" t="str">
        <f t="shared" si="98"/>
        <v>08</v>
      </c>
      <c r="V332">
        <f t="shared" si="99"/>
        <v>11</v>
      </c>
      <c r="W332" t="str">
        <f t="shared" si="100"/>
        <v>11</v>
      </c>
      <c r="X332" t="str">
        <f t="shared" si="101"/>
        <v>https://api.geomagnetism.ga.gov.au/agrf?latd=-35&amp;latm=0&amp;lats=29.52&amp;lond=139&amp;lonm=0&amp;lons=20.38&amp;year=2014&amp;month=08&amp;day=11&amp;elev=0.272&amp;Ein=D&amp;Ein=d</v>
      </c>
    </row>
    <row r="333" spans="1:24" ht="17" x14ac:dyDescent="0.25">
      <c r="A333" s="1" t="s">
        <v>465</v>
      </c>
      <c r="B333" s="1">
        <v>-35.004620000000003</v>
      </c>
      <c r="C333" s="1">
        <v>139.00557000000001</v>
      </c>
      <c r="D333" t="s">
        <v>1086</v>
      </c>
      <c r="E333" t="s">
        <v>1087</v>
      </c>
      <c r="F333" t="str">
        <f t="shared" si="87"/>
        <v>-35° 0' 16.63"</v>
      </c>
      <c r="G333" t="str">
        <f t="shared" si="88"/>
        <v>139° 0' 20.05"</v>
      </c>
      <c r="H333" s="5">
        <f t="shared" si="89"/>
        <v>35</v>
      </c>
      <c r="I333" s="5">
        <f t="shared" si="90"/>
        <v>-35</v>
      </c>
      <c r="J333" s="5">
        <f t="shared" si="91"/>
        <v>0</v>
      </c>
      <c r="K333" s="5">
        <f t="shared" si="92"/>
        <v>16.63</v>
      </c>
      <c r="L333" s="5">
        <f t="shared" si="93"/>
        <v>139</v>
      </c>
      <c r="M333" s="5">
        <f t="shared" si="94"/>
        <v>0</v>
      </c>
      <c r="N333" s="5">
        <f t="shared" si="95"/>
        <v>20.05</v>
      </c>
      <c r="O333" s="1">
        <v>272</v>
      </c>
      <c r="P333">
        <f t="shared" si="85"/>
        <v>0.27200000000000002</v>
      </c>
      <c r="Q333" s="3" t="s">
        <v>451</v>
      </c>
      <c r="R333" t="str">
        <f t="shared" si="86"/>
        <v>17/12/2014</v>
      </c>
      <c r="S333">
        <f t="shared" si="96"/>
        <v>2014</v>
      </c>
      <c r="T333">
        <f t="shared" si="97"/>
        <v>12</v>
      </c>
      <c r="U333" t="str">
        <f t="shared" si="98"/>
        <v>12</v>
      </c>
      <c r="V333">
        <f t="shared" si="99"/>
        <v>17</v>
      </c>
      <c r="W333" t="str">
        <f t="shared" si="100"/>
        <v>17</v>
      </c>
      <c r="X333" t="str">
        <f t="shared" si="101"/>
        <v>https://api.geomagnetism.ga.gov.au/agrf?latd=-35&amp;latm=0&amp;lats=16.63&amp;lond=139&amp;lonm=0&amp;lons=20.05&amp;year=2014&amp;month=12&amp;day=17&amp;elev=0.272&amp;Ein=D&amp;Ein=d</v>
      </c>
    </row>
    <row r="334" spans="1:24" ht="17" x14ac:dyDescent="0.25">
      <c r="A334" s="1" t="s">
        <v>442</v>
      </c>
      <c r="B334" s="1">
        <v>-34.505127999999999</v>
      </c>
      <c r="C334" s="1">
        <v>140.474388</v>
      </c>
      <c r="D334" t="s">
        <v>1088</v>
      </c>
      <c r="E334" t="s">
        <v>1089</v>
      </c>
      <c r="F334" t="str">
        <f t="shared" si="87"/>
        <v>-34° 30' 18.46"</v>
      </c>
      <c r="G334" t="str">
        <f t="shared" si="88"/>
        <v>140° 28' 27.80"</v>
      </c>
      <c r="H334" s="5">
        <f t="shared" si="89"/>
        <v>34</v>
      </c>
      <c r="I334" s="5">
        <f t="shared" si="90"/>
        <v>-34</v>
      </c>
      <c r="J334" s="5">
        <f t="shared" si="91"/>
        <v>30</v>
      </c>
      <c r="K334" s="5">
        <f t="shared" si="92"/>
        <v>18.46</v>
      </c>
      <c r="L334" s="5">
        <f t="shared" si="93"/>
        <v>140</v>
      </c>
      <c r="M334" s="5">
        <f t="shared" si="94"/>
        <v>28</v>
      </c>
      <c r="N334" s="5">
        <f t="shared" si="95"/>
        <v>27.8</v>
      </c>
      <c r="O334" s="1">
        <v>45</v>
      </c>
      <c r="P334">
        <f t="shared" si="85"/>
        <v>4.4999999999999998E-2</v>
      </c>
      <c r="Q334" s="3" t="s">
        <v>453</v>
      </c>
      <c r="R334" t="str">
        <f t="shared" si="86"/>
        <v>12/08/2014</v>
      </c>
      <c r="S334">
        <f t="shared" si="96"/>
        <v>2014</v>
      </c>
      <c r="T334">
        <f t="shared" si="97"/>
        <v>8</v>
      </c>
      <c r="U334" t="str">
        <f t="shared" si="98"/>
        <v>08</v>
      </c>
      <c r="V334">
        <f t="shared" si="99"/>
        <v>12</v>
      </c>
      <c r="W334" t="str">
        <f t="shared" si="100"/>
        <v>12</v>
      </c>
      <c r="X334" t="str">
        <f t="shared" si="101"/>
        <v>https://api.geomagnetism.ga.gov.au/agrf?latd=-34&amp;latm=30&amp;lats=18.46&amp;lond=140&amp;lonm=28&amp;lons=27.8&amp;year=2014&amp;month=08&amp;day=12&amp;elev=0.045&amp;Ein=D&amp;Ein=d</v>
      </c>
    </row>
    <row r="335" spans="1:24" ht="17" x14ac:dyDescent="0.25">
      <c r="A335" s="1" t="s">
        <v>466</v>
      </c>
      <c r="B335" s="1">
        <v>-34.486220000000003</v>
      </c>
      <c r="C335" s="1">
        <v>139.95991000000001</v>
      </c>
      <c r="D335" t="s">
        <v>1090</v>
      </c>
      <c r="E335" t="s">
        <v>1091</v>
      </c>
      <c r="F335" t="str">
        <f t="shared" si="87"/>
        <v>-34° 29' 10.39"</v>
      </c>
      <c r="G335" t="str">
        <f t="shared" si="88"/>
        <v>139° 57' 35.68"</v>
      </c>
      <c r="H335" s="5">
        <f t="shared" si="89"/>
        <v>34</v>
      </c>
      <c r="I335" s="5">
        <f t="shared" si="90"/>
        <v>-34</v>
      </c>
      <c r="J335" s="5">
        <f t="shared" si="91"/>
        <v>29</v>
      </c>
      <c r="K335" s="5">
        <f t="shared" si="92"/>
        <v>10.39</v>
      </c>
      <c r="L335" s="5">
        <f t="shared" si="93"/>
        <v>139</v>
      </c>
      <c r="M335" s="5">
        <f t="shared" si="94"/>
        <v>57</v>
      </c>
      <c r="N335" s="5">
        <f t="shared" si="95"/>
        <v>35.68</v>
      </c>
      <c r="O335" s="1">
        <v>58</v>
      </c>
      <c r="P335">
        <f t="shared" si="85"/>
        <v>5.8000000000000003E-2</v>
      </c>
      <c r="Q335" s="3" t="s">
        <v>454</v>
      </c>
      <c r="R335" t="str">
        <f t="shared" si="86"/>
        <v>20/06/2015</v>
      </c>
      <c r="S335">
        <f t="shared" si="96"/>
        <v>2015</v>
      </c>
      <c r="T335">
        <f t="shared" si="97"/>
        <v>6</v>
      </c>
      <c r="U335" t="str">
        <f t="shared" si="98"/>
        <v>06</v>
      </c>
      <c r="V335">
        <f t="shared" si="99"/>
        <v>20</v>
      </c>
      <c r="W335" t="str">
        <f t="shared" si="100"/>
        <v>20</v>
      </c>
      <c r="X335" t="str">
        <f t="shared" si="101"/>
        <v>https://api.geomagnetism.ga.gov.au/agrf?latd=-34&amp;latm=29&amp;lats=10.39&amp;lond=139&amp;lonm=57&amp;lons=35.68&amp;year=2015&amp;month=06&amp;day=20&amp;elev=0.058&amp;Ein=D&amp;Ein=d</v>
      </c>
    </row>
    <row r="336" spans="1:24" ht="17" x14ac:dyDescent="0.25">
      <c r="A336" s="1" t="s">
        <v>443</v>
      </c>
      <c r="B336" s="1">
        <v>-34.483350000000002</v>
      </c>
      <c r="C336" s="1">
        <v>139.52536000000001</v>
      </c>
      <c r="D336" t="s">
        <v>1092</v>
      </c>
      <c r="E336" t="s">
        <v>1093</v>
      </c>
      <c r="F336" t="str">
        <f t="shared" si="87"/>
        <v>-34° 29' 0.06"</v>
      </c>
      <c r="G336" t="str">
        <f t="shared" si="88"/>
        <v>139° 31' 31.30"</v>
      </c>
      <c r="H336" s="5">
        <f t="shared" si="89"/>
        <v>34</v>
      </c>
      <c r="I336" s="5">
        <f t="shared" si="90"/>
        <v>-34</v>
      </c>
      <c r="J336" s="5">
        <f t="shared" si="91"/>
        <v>29</v>
      </c>
      <c r="K336" s="5">
        <f t="shared" si="92"/>
        <v>0.06</v>
      </c>
      <c r="L336" s="5">
        <f t="shared" si="93"/>
        <v>139</v>
      </c>
      <c r="M336" s="5">
        <f t="shared" si="94"/>
        <v>31</v>
      </c>
      <c r="N336" s="5">
        <f t="shared" si="95"/>
        <v>31.3</v>
      </c>
      <c r="O336" s="1">
        <v>80</v>
      </c>
      <c r="P336">
        <f t="shared" si="85"/>
        <v>0.08</v>
      </c>
      <c r="Q336" s="3" t="s">
        <v>455</v>
      </c>
      <c r="R336" t="str">
        <f t="shared" si="86"/>
        <v>19/12/2014</v>
      </c>
      <c r="S336">
        <f t="shared" si="96"/>
        <v>2014</v>
      </c>
      <c r="T336">
        <f t="shared" si="97"/>
        <v>12</v>
      </c>
      <c r="U336" t="str">
        <f t="shared" si="98"/>
        <v>12</v>
      </c>
      <c r="V336">
        <f t="shared" si="99"/>
        <v>19</v>
      </c>
      <c r="W336" t="str">
        <f t="shared" si="100"/>
        <v>19</v>
      </c>
      <c r="X336" t="str">
        <f t="shared" si="101"/>
        <v>https://api.geomagnetism.ga.gov.au/agrf?latd=-34&amp;latm=29&amp;lats=0.06&amp;lond=139&amp;lonm=31&amp;lons=31.3&amp;year=2014&amp;month=12&amp;day=19&amp;elev=0.08&amp;Ein=D&amp;Ein=d</v>
      </c>
    </row>
    <row r="337" spans="1:24" ht="17" x14ac:dyDescent="0.25">
      <c r="A337" s="1" t="s">
        <v>467</v>
      </c>
      <c r="B337" s="1">
        <v>-34.504939999999998</v>
      </c>
      <c r="C337" s="1">
        <v>138.98974000000001</v>
      </c>
      <c r="D337" t="s">
        <v>1094</v>
      </c>
      <c r="E337" t="s">
        <v>1095</v>
      </c>
      <c r="F337" t="str">
        <f t="shared" si="87"/>
        <v>-34° 30' 17.78"</v>
      </c>
      <c r="G337" t="str">
        <f t="shared" si="88"/>
        <v>138° 59' 23.06"</v>
      </c>
      <c r="H337" s="5">
        <f t="shared" si="89"/>
        <v>34</v>
      </c>
      <c r="I337" s="5">
        <f t="shared" si="90"/>
        <v>-34</v>
      </c>
      <c r="J337" s="5">
        <f t="shared" si="91"/>
        <v>30</v>
      </c>
      <c r="K337" s="5">
        <f t="shared" si="92"/>
        <v>17.78</v>
      </c>
      <c r="L337" s="5">
        <f t="shared" si="93"/>
        <v>138</v>
      </c>
      <c r="M337" s="5">
        <f t="shared" si="94"/>
        <v>59</v>
      </c>
      <c r="N337" s="5">
        <f t="shared" si="95"/>
        <v>23.06</v>
      </c>
      <c r="O337" s="1">
        <v>272</v>
      </c>
      <c r="P337">
        <f t="shared" si="85"/>
        <v>0.27200000000000002</v>
      </c>
      <c r="Q337" s="3" t="s">
        <v>455</v>
      </c>
      <c r="R337" t="str">
        <f t="shared" si="86"/>
        <v>19/12/2014</v>
      </c>
      <c r="S337">
        <f t="shared" si="96"/>
        <v>2014</v>
      </c>
      <c r="T337">
        <f t="shared" si="97"/>
        <v>12</v>
      </c>
      <c r="U337" t="str">
        <f t="shared" si="98"/>
        <v>12</v>
      </c>
      <c r="V337">
        <f t="shared" si="99"/>
        <v>19</v>
      </c>
      <c r="W337" t="str">
        <f t="shared" si="100"/>
        <v>19</v>
      </c>
      <c r="X337" t="str">
        <f t="shared" si="101"/>
        <v>https://api.geomagnetism.ga.gov.au/agrf?latd=-34&amp;latm=30&amp;lats=17.78&amp;lond=138&amp;lonm=59&amp;lons=23.06&amp;year=2014&amp;month=12&amp;day=19&amp;elev=0.272&amp;Ein=D&amp;Ein=d</v>
      </c>
    </row>
    <row r="338" spans="1:24" ht="17" x14ac:dyDescent="0.25">
      <c r="A338" s="1" t="s">
        <v>444</v>
      </c>
      <c r="B338" s="1">
        <v>-34.000230000000002</v>
      </c>
      <c r="C338" s="1">
        <v>138.50325599999999</v>
      </c>
      <c r="D338" t="s">
        <v>1096</v>
      </c>
      <c r="E338" t="s">
        <v>1097</v>
      </c>
      <c r="F338" t="str">
        <f t="shared" si="87"/>
        <v>-34° 0' 0.83"</v>
      </c>
      <c r="G338" t="str">
        <f t="shared" si="88"/>
        <v>138° 30' 11.72"</v>
      </c>
      <c r="H338" s="5">
        <f t="shared" si="89"/>
        <v>34</v>
      </c>
      <c r="I338" s="5">
        <f t="shared" si="90"/>
        <v>-34</v>
      </c>
      <c r="J338" s="5">
        <f t="shared" si="91"/>
        <v>0</v>
      </c>
      <c r="K338" s="5">
        <f t="shared" si="92"/>
        <v>0.83</v>
      </c>
      <c r="L338" s="5">
        <f t="shared" si="93"/>
        <v>138</v>
      </c>
      <c r="M338" s="5">
        <f t="shared" si="94"/>
        <v>30</v>
      </c>
      <c r="N338" s="5">
        <f t="shared" si="95"/>
        <v>11.72</v>
      </c>
      <c r="O338" s="1">
        <v>179</v>
      </c>
      <c r="P338">
        <f t="shared" si="85"/>
        <v>0.17899999999999999</v>
      </c>
      <c r="Q338" s="3" t="s">
        <v>456</v>
      </c>
      <c r="R338" t="str">
        <f t="shared" si="86"/>
        <v>04/01/2015</v>
      </c>
      <c r="S338">
        <f t="shared" si="96"/>
        <v>2015</v>
      </c>
      <c r="T338">
        <f t="shared" si="97"/>
        <v>1</v>
      </c>
      <c r="U338" t="str">
        <f t="shared" si="98"/>
        <v>01</v>
      </c>
      <c r="V338">
        <f t="shared" si="99"/>
        <v>4</v>
      </c>
      <c r="W338" t="str">
        <f t="shared" si="100"/>
        <v>04</v>
      </c>
      <c r="X338" t="str">
        <f t="shared" si="101"/>
        <v>https://api.geomagnetism.ga.gov.au/agrf?latd=-34&amp;latm=0&amp;lats=0.83&amp;lond=138&amp;lonm=30&amp;lons=11.72&amp;year=2015&amp;month=01&amp;day=04&amp;elev=0.179&amp;Ein=D&amp;Ein=d</v>
      </c>
    </row>
    <row r="339" spans="1:24" ht="17" x14ac:dyDescent="0.25">
      <c r="A339" s="1" t="s">
        <v>468</v>
      </c>
      <c r="B339" s="1">
        <v>-35.791460000000001</v>
      </c>
      <c r="C339" s="1">
        <v>137.98647</v>
      </c>
      <c r="D339" t="s">
        <v>1098</v>
      </c>
      <c r="E339" t="s">
        <v>1099</v>
      </c>
      <c r="F339" t="str">
        <f t="shared" si="87"/>
        <v>-35° 47' 29.26"</v>
      </c>
      <c r="G339" t="str">
        <f t="shared" si="88"/>
        <v>137° 59' 11.29"</v>
      </c>
      <c r="H339" s="5">
        <f t="shared" si="89"/>
        <v>35</v>
      </c>
      <c r="I339" s="5">
        <f t="shared" si="90"/>
        <v>-35</v>
      </c>
      <c r="J339" s="5">
        <f t="shared" si="91"/>
        <v>47</v>
      </c>
      <c r="K339" s="5">
        <f t="shared" si="92"/>
        <v>29.26</v>
      </c>
      <c r="L339" s="5">
        <f t="shared" si="93"/>
        <v>137</v>
      </c>
      <c r="M339" s="5">
        <f t="shared" si="94"/>
        <v>59</v>
      </c>
      <c r="N339" s="5">
        <f t="shared" si="95"/>
        <v>11.29</v>
      </c>
      <c r="O339" s="1">
        <v>138</v>
      </c>
      <c r="P339">
        <f t="shared" si="85"/>
        <v>0.13800000000000001</v>
      </c>
      <c r="Q339" s="3" t="s">
        <v>484</v>
      </c>
      <c r="R339" t="str">
        <f t="shared" si="86"/>
        <v>08/08/2015</v>
      </c>
      <c r="S339">
        <f t="shared" si="96"/>
        <v>2015</v>
      </c>
      <c r="T339">
        <f t="shared" si="97"/>
        <v>8</v>
      </c>
      <c r="U339" t="str">
        <f t="shared" si="98"/>
        <v>08</v>
      </c>
      <c r="V339">
        <f t="shared" si="99"/>
        <v>8</v>
      </c>
      <c r="W339" t="str">
        <f t="shared" si="100"/>
        <v>08</v>
      </c>
      <c r="X339" t="str">
        <f t="shared" si="101"/>
        <v>https://api.geomagnetism.ga.gov.au/agrf?latd=-35&amp;latm=47&amp;lats=29.26&amp;lond=137&amp;lonm=59&amp;lons=11.29&amp;year=2015&amp;month=08&amp;day=08&amp;elev=0.138&amp;Ein=D&amp;Ein=d</v>
      </c>
    </row>
    <row r="340" spans="1:24" ht="17" x14ac:dyDescent="0.25">
      <c r="A340" s="1" t="s">
        <v>469</v>
      </c>
      <c r="B340" s="1">
        <v>-35.741619999999998</v>
      </c>
      <c r="C340" s="1">
        <v>136.95599999999999</v>
      </c>
      <c r="D340" t="s">
        <v>1100</v>
      </c>
      <c r="E340" t="s">
        <v>1101</v>
      </c>
      <c r="F340" t="str">
        <f t="shared" si="87"/>
        <v>-35° 44' 29.83"</v>
      </c>
      <c r="G340" t="str">
        <f t="shared" si="88"/>
        <v>136° 57' 21.60"</v>
      </c>
      <c r="H340" s="5">
        <f t="shared" si="89"/>
        <v>35</v>
      </c>
      <c r="I340" s="5">
        <f t="shared" si="90"/>
        <v>-35</v>
      </c>
      <c r="J340" s="5">
        <f t="shared" si="91"/>
        <v>44</v>
      </c>
      <c r="K340" s="5">
        <f t="shared" si="92"/>
        <v>29.83</v>
      </c>
      <c r="L340" s="5">
        <f t="shared" si="93"/>
        <v>136</v>
      </c>
      <c r="M340" s="5">
        <f t="shared" si="94"/>
        <v>57</v>
      </c>
      <c r="N340" s="5">
        <f t="shared" si="95"/>
        <v>21.6</v>
      </c>
      <c r="O340" s="1">
        <v>227</v>
      </c>
      <c r="P340">
        <f t="shared" si="85"/>
        <v>0.22700000000000001</v>
      </c>
      <c r="Q340" s="3" t="s">
        <v>485</v>
      </c>
      <c r="R340" t="str">
        <f t="shared" si="86"/>
        <v>10/08/2015</v>
      </c>
      <c r="S340">
        <f t="shared" si="96"/>
        <v>2015</v>
      </c>
      <c r="T340">
        <f t="shared" si="97"/>
        <v>8</v>
      </c>
      <c r="U340" t="str">
        <f t="shared" si="98"/>
        <v>08</v>
      </c>
      <c r="V340">
        <f t="shared" si="99"/>
        <v>10</v>
      </c>
      <c r="W340" t="str">
        <f t="shared" si="100"/>
        <v>10</v>
      </c>
      <c r="X340" t="str">
        <f t="shared" si="101"/>
        <v>https://api.geomagnetism.ga.gov.au/agrf?latd=-35&amp;latm=44&amp;lats=29.83&amp;lond=136&amp;lonm=57&amp;lons=21.6&amp;year=2015&amp;month=08&amp;day=10&amp;elev=0.227&amp;Ein=D&amp;Ein=d</v>
      </c>
    </row>
    <row r="341" spans="1:24" ht="17" x14ac:dyDescent="0.25">
      <c r="A341" s="1" t="s">
        <v>470</v>
      </c>
      <c r="B341" s="1">
        <v>-35.895600000000002</v>
      </c>
      <c r="C341" s="1">
        <v>137.63282000000001</v>
      </c>
      <c r="D341" t="s">
        <v>1102</v>
      </c>
      <c r="E341" t="s">
        <v>1103</v>
      </c>
      <c r="F341" t="str">
        <f t="shared" si="87"/>
        <v>-35° 53' 44.16"</v>
      </c>
      <c r="G341" t="str">
        <f t="shared" si="88"/>
        <v>137° 37' 58.15"</v>
      </c>
      <c r="H341" s="5">
        <f t="shared" si="89"/>
        <v>35</v>
      </c>
      <c r="I341" s="5">
        <f t="shared" si="90"/>
        <v>-35</v>
      </c>
      <c r="J341" s="5">
        <f t="shared" si="91"/>
        <v>53</v>
      </c>
      <c r="K341" s="5">
        <f t="shared" si="92"/>
        <v>44.16</v>
      </c>
      <c r="L341" s="5">
        <f t="shared" si="93"/>
        <v>137</v>
      </c>
      <c r="M341" s="5">
        <f t="shared" si="94"/>
        <v>37</v>
      </c>
      <c r="N341" s="5">
        <f t="shared" si="95"/>
        <v>58.15</v>
      </c>
      <c r="O341" s="1">
        <v>1</v>
      </c>
      <c r="P341">
        <f t="shared" si="85"/>
        <v>1E-3</v>
      </c>
      <c r="Q341" s="3" t="s">
        <v>486</v>
      </c>
      <c r="R341" t="str">
        <f t="shared" si="86"/>
        <v>09/08/2015</v>
      </c>
      <c r="S341">
        <f t="shared" si="96"/>
        <v>2015</v>
      </c>
      <c r="T341">
        <f t="shared" si="97"/>
        <v>8</v>
      </c>
      <c r="U341" t="str">
        <f t="shared" si="98"/>
        <v>08</v>
      </c>
      <c r="V341">
        <f t="shared" si="99"/>
        <v>9</v>
      </c>
      <c r="W341" t="str">
        <f t="shared" si="100"/>
        <v>09</v>
      </c>
      <c r="X341" t="str">
        <f t="shared" si="101"/>
        <v>https://api.geomagnetism.ga.gov.au/agrf?latd=-35&amp;latm=53&amp;lats=44.16&amp;lond=137&amp;lonm=37&amp;lons=58.15&amp;year=2015&amp;month=08&amp;day=09&amp;elev=0.001&amp;Ein=D&amp;Ein=d</v>
      </c>
    </row>
    <row r="342" spans="1:24" ht="17" x14ac:dyDescent="0.25">
      <c r="A342" s="1" t="s">
        <v>471</v>
      </c>
      <c r="B342" s="1">
        <v>-35.617640000000002</v>
      </c>
      <c r="C342" s="1">
        <v>137.52345</v>
      </c>
      <c r="D342" t="s">
        <v>1104</v>
      </c>
      <c r="E342" t="s">
        <v>1105</v>
      </c>
      <c r="F342" t="str">
        <f t="shared" si="87"/>
        <v>-35° 37' 3.50"</v>
      </c>
      <c r="G342" t="str">
        <f t="shared" si="88"/>
        <v>137° 31' 24.42"</v>
      </c>
      <c r="H342" s="5">
        <f t="shared" si="89"/>
        <v>35</v>
      </c>
      <c r="I342" s="5">
        <f t="shared" si="90"/>
        <v>-35</v>
      </c>
      <c r="J342" s="5">
        <f t="shared" si="91"/>
        <v>37</v>
      </c>
      <c r="K342" s="5">
        <f t="shared" si="92"/>
        <v>3.5</v>
      </c>
      <c r="L342" s="5">
        <f t="shared" si="93"/>
        <v>137</v>
      </c>
      <c r="M342" s="5">
        <f t="shared" si="94"/>
        <v>31</v>
      </c>
      <c r="N342" s="5">
        <f t="shared" si="95"/>
        <v>24.42</v>
      </c>
      <c r="O342" s="1">
        <v>23</v>
      </c>
      <c r="P342">
        <f t="shared" si="85"/>
        <v>2.3E-2</v>
      </c>
      <c r="Q342" s="3" t="s">
        <v>484</v>
      </c>
      <c r="R342" t="str">
        <f t="shared" si="86"/>
        <v>08/08/2015</v>
      </c>
      <c r="S342">
        <f t="shared" si="96"/>
        <v>2015</v>
      </c>
      <c r="T342">
        <f t="shared" si="97"/>
        <v>8</v>
      </c>
      <c r="U342" t="str">
        <f t="shared" si="98"/>
        <v>08</v>
      </c>
      <c r="V342">
        <f t="shared" si="99"/>
        <v>8</v>
      </c>
      <c r="W342" t="str">
        <f t="shared" si="100"/>
        <v>08</v>
      </c>
      <c r="X342" t="str">
        <f t="shared" si="101"/>
        <v>https://api.geomagnetism.ga.gov.au/agrf?latd=-35&amp;latm=37&amp;lats=3.5&amp;lond=137&amp;lonm=31&amp;lons=24.42&amp;year=2015&amp;month=08&amp;day=08&amp;elev=0.023&amp;Ein=D&amp;Ein=d</v>
      </c>
    </row>
    <row r="343" spans="1:24" ht="17" x14ac:dyDescent="0.25">
      <c r="A343" s="1" t="s">
        <v>472</v>
      </c>
      <c r="B343" s="1">
        <v>-35.940489999999997</v>
      </c>
      <c r="C343" s="1">
        <v>136.83745999999999</v>
      </c>
      <c r="D343" t="s">
        <v>1106</v>
      </c>
      <c r="E343" t="s">
        <v>1107</v>
      </c>
      <c r="F343" t="str">
        <f t="shared" si="87"/>
        <v>-35° 56' 25.76"</v>
      </c>
      <c r="G343" t="str">
        <f t="shared" si="88"/>
        <v>136° 50' 14.86"</v>
      </c>
      <c r="H343" s="5">
        <f t="shared" si="89"/>
        <v>35</v>
      </c>
      <c r="I343" s="5">
        <f t="shared" si="90"/>
        <v>-35</v>
      </c>
      <c r="J343" s="5">
        <f t="shared" si="91"/>
        <v>56</v>
      </c>
      <c r="K343" s="5">
        <f t="shared" si="92"/>
        <v>25.76</v>
      </c>
      <c r="L343" s="5">
        <f t="shared" si="93"/>
        <v>136</v>
      </c>
      <c r="M343" s="5">
        <f t="shared" si="94"/>
        <v>50</v>
      </c>
      <c r="N343" s="5">
        <f t="shared" si="95"/>
        <v>14.86</v>
      </c>
      <c r="O343" s="1">
        <v>118</v>
      </c>
      <c r="P343">
        <f t="shared" si="85"/>
        <v>0.11799999999999999</v>
      </c>
      <c r="Q343" s="3" t="s">
        <v>486</v>
      </c>
      <c r="R343" t="str">
        <f t="shared" si="86"/>
        <v>09/08/2015</v>
      </c>
      <c r="S343">
        <f t="shared" si="96"/>
        <v>2015</v>
      </c>
      <c r="T343">
        <f t="shared" si="97"/>
        <v>8</v>
      </c>
      <c r="U343" t="str">
        <f t="shared" si="98"/>
        <v>08</v>
      </c>
      <c r="V343">
        <f t="shared" si="99"/>
        <v>9</v>
      </c>
      <c r="W343" t="str">
        <f t="shared" si="100"/>
        <v>09</v>
      </c>
      <c r="X343" t="str">
        <f t="shared" si="101"/>
        <v>https://api.geomagnetism.ga.gov.au/agrf?latd=-35&amp;latm=56&amp;lats=25.76&amp;lond=136&amp;lonm=50&amp;lons=14.86&amp;year=2015&amp;month=08&amp;day=09&amp;elev=0.118&amp;Ein=D&amp;Ein=d</v>
      </c>
    </row>
    <row r="344" spans="1:24" ht="17" x14ac:dyDescent="0.25">
      <c r="A344" s="1" t="s">
        <v>473</v>
      </c>
      <c r="B344" s="1">
        <v>-32.463679999999997</v>
      </c>
      <c r="C344" s="1">
        <v>133.98564999999999</v>
      </c>
      <c r="D344" t="s">
        <v>1108</v>
      </c>
      <c r="E344" t="s">
        <v>1109</v>
      </c>
      <c r="F344" t="str">
        <f t="shared" si="87"/>
        <v>-32° 27' 49.25"</v>
      </c>
      <c r="G344" t="str">
        <f t="shared" si="88"/>
        <v>133° 59' 8.34"</v>
      </c>
      <c r="H344" s="5">
        <f t="shared" si="89"/>
        <v>32</v>
      </c>
      <c r="I344" s="5">
        <f t="shared" si="90"/>
        <v>-32</v>
      </c>
      <c r="J344" s="5">
        <f t="shared" si="91"/>
        <v>27</v>
      </c>
      <c r="K344" s="5">
        <f t="shared" si="92"/>
        <v>49.25</v>
      </c>
      <c r="L344" s="5">
        <f t="shared" si="93"/>
        <v>133</v>
      </c>
      <c r="M344" s="5">
        <f t="shared" si="94"/>
        <v>59</v>
      </c>
      <c r="N344" s="5">
        <f t="shared" si="95"/>
        <v>8.34</v>
      </c>
      <c r="O344" s="1">
        <v>180</v>
      </c>
      <c r="P344">
        <f t="shared" si="85"/>
        <v>0.18</v>
      </c>
      <c r="Q344" s="3" t="s">
        <v>262</v>
      </c>
      <c r="R344" t="str">
        <f t="shared" si="86"/>
        <v>19/11/2015</v>
      </c>
      <c r="S344">
        <f t="shared" si="96"/>
        <v>2015</v>
      </c>
      <c r="T344">
        <f t="shared" si="97"/>
        <v>11</v>
      </c>
      <c r="U344" t="str">
        <f t="shared" si="98"/>
        <v>11</v>
      </c>
      <c r="V344">
        <f t="shared" si="99"/>
        <v>19</v>
      </c>
      <c r="W344" t="str">
        <f t="shared" si="100"/>
        <v>19</v>
      </c>
      <c r="X344" t="str">
        <f t="shared" si="101"/>
        <v>https://api.geomagnetism.ga.gov.au/agrf?latd=-32&amp;latm=27&amp;lats=49.25&amp;lond=133&amp;lonm=59&amp;lons=8.34&amp;year=2015&amp;month=11&amp;day=19&amp;elev=0.18&amp;Ein=D&amp;Ein=d</v>
      </c>
    </row>
    <row r="345" spans="1:24" ht="17" x14ac:dyDescent="0.25">
      <c r="A345" s="1" t="s">
        <v>474</v>
      </c>
      <c r="B345" s="1">
        <v>-32.456760000000003</v>
      </c>
      <c r="C345" s="1">
        <v>133.98750999999999</v>
      </c>
      <c r="D345" t="s">
        <v>1110</v>
      </c>
      <c r="E345" t="s">
        <v>1111</v>
      </c>
      <c r="F345" t="str">
        <f t="shared" si="87"/>
        <v>-32° 27' 24.34"</v>
      </c>
      <c r="G345" t="str">
        <f t="shared" si="88"/>
        <v>133° 59' 15.04"</v>
      </c>
      <c r="H345" s="5">
        <f t="shared" si="89"/>
        <v>32</v>
      </c>
      <c r="I345" s="5">
        <f t="shared" si="90"/>
        <v>-32</v>
      </c>
      <c r="J345" s="5">
        <f t="shared" si="91"/>
        <v>27</v>
      </c>
      <c r="K345" s="5">
        <f t="shared" si="92"/>
        <v>24.34</v>
      </c>
      <c r="L345" s="5">
        <f t="shared" si="93"/>
        <v>133</v>
      </c>
      <c r="M345" s="5">
        <f t="shared" si="94"/>
        <v>59</v>
      </c>
      <c r="N345" s="5">
        <f t="shared" si="95"/>
        <v>15.04</v>
      </c>
      <c r="O345" s="1">
        <v>180</v>
      </c>
      <c r="P345">
        <f t="shared" si="85"/>
        <v>0.18</v>
      </c>
      <c r="Q345" s="3" t="s">
        <v>88</v>
      </c>
      <c r="R345" t="str">
        <f t="shared" si="86"/>
        <v>20/09/2015</v>
      </c>
      <c r="S345">
        <f t="shared" si="96"/>
        <v>2015</v>
      </c>
      <c r="T345">
        <f t="shared" si="97"/>
        <v>9</v>
      </c>
      <c r="U345" t="str">
        <f t="shared" si="98"/>
        <v>09</v>
      </c>
      <c r="V345">
        <f t="shared" si="99"/>
        <v>20</v>
      </c>
      <c r="W345" t="str">
        <f t="shared" si="100"/>
        <v>20</v>
      </c>
      <c r="X345" t="str">
        <f t="shared" si="101"/>
        <v>https://api.geomagnetism.ga.gov.au/agrf?latd=-32&amp;latm=27&amp;lats=24.34&amp;lond=133&amp;lonm=59&amp;lons=15.04&amp;year=2015&amp;month=09&amp;day=20&amp;elev=0.18&amp;Ein=D&amp;Ein=d</v>
      </c>
    </row>
    <row r="346" spans="1:24" ht="17" x14ac:dyDescent="0.25">
      <c r="A346" s="1" t="s">
        <v>475</v>
      </c>
      <c r="B346" s="1">
        <v>-32.954340000000002</v>
      </c>
      <c r="C346" s="1">
        <v>134.50351000000001</v>
      </c>
      <c r="D346" t="s">
        <v>1112</v>
      </c>
      <c r="E346" t="s">
        <v>1113</v>
      </c>
      <c r="F346" t="str">
        <f t="shared" si="87"/>
        <v>-32° 57' 15.62"</v>
      </c>
      <c r="G346" t="str">
        <f t="shared" si="88"/>
        <v>134° 30' 12.64"</v>
      </c>
      <c r="H346" s="5">
        <f t="shared" si="89"/>
        <v>32</v>
      </c>
      <c r="I346" s="5">
        <f t="shared" si="90"/>
        <v>-32</v>
      </c>
      <c r="J346" s="5">
        <f t="shared" si="91"/>
        <v>57</v>
      </c>
      <c r="K346" s="5">
        <f t="shared" si="92"/>
        <v>15.62</v>
      </c>
      <c r="L346" s="5">
        <f t="shared" si="93"/>
        <v>134</v>
      </c>
      <c r="M346" s="5">
        <f t="shared" si="94"/>
        <v>30</v>
      </c>
      <c r="N346" s="5">
        <f t="shared" si="95"/>
        <v>12.64</v>
      </c>
      <c r="O346" s="1"/>
      <c r="P346">
        <f t="shared" si="85"/>
        <v>0</v>
      </c>
      <c r="Q346" s="3" t="s">
        <v>262</v>
      </c>
      <c r="R346" t="str">
        <f t="shared" si="86"/>
        <v>19/11/2015</v>
      </c>
      <c r="S346">
        <f t="shared" si="96"/>
        <v>2015</v>
      </c>
      <c r="T346">
        <f t="shared" si="97"/>
        <v>11</v>
      </c>
      <c r="U346" t="str">
        <f t="shared" si="98"/>
        <v>11</v>
      </c>
      <c r="V346">
        <f t="shared" si="99"/>
        <v>19</v>
      </c>
      <c r="W346" t="str">
        <f t="shared" si="100"/>
        <v>19</v>
      </c>
      <c r="X346" t="str">
        <f t="shared" si="101"/>
        <v>https://api.geomagnetism.ga.gov.au/agrf?latd=-32&amp;latm=57&amp;lats=15.62&amp;lond=134&amp;lonm=30&amp;lons=12.64&amp;year=2015&amp;month=11&amp;day=19&amp;elev=0&amp;Ein=D&amp;Ein=d</v>
      </c>
    </row>
    <row r="347" spans="1:24" ht="17" x14ac:dyDescent="0.25">
      <c r="A347" s="1" t="s">
        <v>476</v>
      </c>
      <c r="B347" s="1">
        <v>-32.498489999999997</v>
      </c>
      <c r="C347" s="1">
        <v>135.48699999999999</v>
      </c>
      <c r="D347" t="s">
        <v>1114</v>
      </c>
      <c r="E347" t="s">
        <v>1115</v>
      </c>
      <c r="F347" t="str">
        <f t="shared" si="87"/>
        <v>-32° 29' 54.56"</v>
      </c>
      <c r="G347" t="str">
        <f t="shared" si="88"/>
        <v>135° 29' 13.20"</v>
      </c>
      <c r="H347" s="5">
        <f t="shared" si="89"/>
        <v>32</v>
      </c>
      <c r="I347" s="5">
        <f t="shared" si="90"/>
        <v>-32</v>
      </c>
      <c r="J347" s="5">
        <f t="shared" si="91"/>
        <v>29</v>
      </c>
      <c r="K347" s="5">
        <f t="shared" si="92"/>
        <v>54.56</v>
      </c>
      <c r="L347" s="5">
        <f t="shared" si="93"/>
        <v>135</v>
      </c>
      <c r="M347" s="5">
        <f t="shared" si="94"/>
        <v>29</v>
      </c>
      <c r="N347" s="5">
        <f t="shared" si="95"/>
        <v>13.2</v>
      </c>
      <c r="O347" s="1">
        <v>259</v>
      </c>
      <c r="P347">
        <f t="shared" si="85"/>
        <v>0.25900000000000001</v>
      </c>
      <c r="Q347" s="3" t="s">
        <v>260</v>
      </c>
      <c r="R347" t="str">
        <f t="shared" si="86"/>
        <v>17/02/2015</v>
      </c>
      <c r="S347">
        <f t="shared" si="96"/>
        <v>2015</v>
      </c>
      <c r="T347">
        <f t="shared" si="97"/>
        <v>2</v>
      </c>
      <c r="U347" t="str">
        <f t="shared" si="98"/>
        <v>02</v>
      </c>
      <c r="V347">
        <f t="shared" si="99"/>
        <v>17</v>
      </c>
      <c r="W347" t="str">
        <f t="shared" si="100"/>
        <v>17</v>
      </c>
      <c r="X347" t="str">
        <f t="shared" si="101"/>
        <v>https://api.geomagnetism.ga.gov.au/agrf?latd=-32&amp;latm=29&amp;lats=54.56&amp;lond=135&amp;lonm=29&amp;lons=13.2&amp;year=2015&amp;month=02&amp;day=17&amp;elev=0.259&amp;Ein=D&amp;Ein=d</v>
      </c>
    </row>
    <row r="348" spans="1:24" ht="17" x14ac:dyDescent="0.25">
      <c r="A348" s="1" t="s">
        <v>477</v>
      </c>
      <c r="B348" s="1">
        <v>-33.978409999999997</v>
      </c>
      <c r="C348" s="1">
        <v>137.77832000000001</v>
      </c>
      <c r="D348" t="s">
        <v>1116</v>
      </c>
      <c r="E348" t="s">
        <v>1117</v>
      </c>
      <c r="F348" t="str">
        <f t="shared" si="87"/>
        <v>-33° 58' 42.28"</v>
      </c>
      <c r="G348" t="str">
        <f t="shared" si="88"/>
        <v>137° 46' 41.95"</v>
      </c>
      <c r="H348" s="5">
        <f t="shared" si="89"/>
        <v>33</v>
      </c>
      <c r="I348" s="5">
        <f t="shared" si="90"/>
        <v>-33</v>
      </c>
      <c r="J348" s="5">
        <f t="shared" si="91"/>
        <v>58</v>
      </c>
      <c r="K348" s="5">
        <f t="shared" si="92"/>
        <v>42.28</v>
      </c>
      <c r="L348" s="5">
        <f t="shared" si="93"/>
        <v>137</v>
      </c>
      <c r="M348" s="5">
        <f t="shared" si="94"/>
        <v>46</v>
      </c>
      <c r="N348" s="5">
        <f t="shared" si="95"/>
        <v>41.95</v>
      </c>
      <c r="O348" s="1">
        <v>49</v>
      </c>
      <c r="P348">
        <f t="shared" si="85"/>
        <v>4.9000000000000002E-2</v>
      </c>
      <c r="Q348" s="3" t="s">
        <v>446</v>
      </c>
      <c r="R348" t="str">
        <f t="shared" si="86"/>
        <v>03/08/2015</v>
      </c>
      <c r="S348">
        <f t="shared" si="96"/>
        <v>2015</v>
      </c>
      <c r="T348">
        <f t="shared" si="97"/>
        <v>8</v>
      </c>
      <c r="U348" t="str">
        <f t="shared" si="98"/>
        <v>08</v>
      </c>
      <c r="V348">
        <f t="shared" si="99"/>
        <v>3</v>
      </c>
      <c r="W348" t="str">
        <f t="shared" si="100"/>
        <v>03</v>
      </c>
      <c r="X348" t="str">
        <f t="shared" si="101"/>
        <v>https://api.geomagnetism.ga.gov.au/agrf?latd=-33&amp;latm=58&amp;lats=42.28&amp;lond=137&amp;lonm=46&amp;lons=41.95&amp;year=2015&amp;month=08&amp;day=03&amp;elev=0.049&amp;Ein=D&amp;Ein=d</v>
      </c>
    </row>
    <row r="349" spans="1:24" ht="17" x14ac:dyDescent="0.25">
      <c r="A349" s="1" t="s">
        <v>478</v>
      </c>
      <c r="B349" s="1">
        <v>-33.492339999999999</v>
      </c>
      <c r="C349" s="1">
        <v>134.99158</v>
      </c>
      <c r="D349" t="s">
        <v>1118</v>
      </c>
      <c r="E349" t="s">
        <v>1119</v>
      </c>
      <c r="F349" t="str">
        <f t="shared" si="87"/>
        <v>-33° 29' 32.42"</v>
      </c>
      <c r="G349" t="str">
        <f t="shared" si="88"/>
        <v>134° 59' 29.69"</v>
      </c>
      <c r="H349" s="5">
        <f t="shared" si="89"/>
        <v>33</v>
      </c>
      <c r="I349" s="5">
        <f t="shared" si="90"/>
        <v>-33</v>
      </c>
      <c r="J349" s="5">
        <f t="shared" si="91"/>
        <v>29</v>
      </c>
      <c r="K349" s="5">
        <f t="shared" si="92"/>
        <v>32.42</v>
      </c>
      <c r="L349" s="5">
        <f t="shared" si="93"/>
        <v>134</v>
      </c>
      <c r="M349" s="5">
        <f t="shared" si="94"/>
        <v>59</v>
      </c>
      <c r="N349" s="5">
        <f t="shared" si="95"/>
        <v>29.69</v>
      </c>
      <c r="O349" s="1">
        <v>40</v>
      </c>
      <c r="P349">
        <f t="shared" si="85"/>
        <v>0.04</v>
      </c>
      <c r="Q349" s="3" t="s">
        <v>487</v>
      </c>
      <c r="R349" t="str">
        <f t="shared" si="86"/>
        <v>20/11/2015</v>
      </c>
      <c r="S349">
        <f t="shared" si="96"/>
        <v>2015</v>
      </c>
      <c r="T349">
        <f t="shared" si="97"/>
        <v>11</v>
      </c>
      <c r="U349" t="str">
        <f t="shared" si="98"/>
        <v>11</v>
      </c>
      <c r="V349">
        <f t="shared" si="99"/>
        <v>20</v>
      </c>
      <c r="W349" t="str">
        <f t="shared" si="100"/>
        <v>20</v>
      </c>
      <c r="X349" t="str">
        <f t="shared" si="101"/>
        <v>https://api.geomagnetism.ga.gov.au/agrf?latd=-33&amp;latm=29&amp;lats=32.42&amp;lond=134&amp;lonm=59&amp;lons=29.69&amp;year=2015&amp;month=11&amp;day=20&amp;elev=0.04&amp;Ein=D&amp;Ein=d</v>
      </c>
    </row>
    <row r="350" spans="1:24" ht="17" x14ac:dyDescent="0.25">
      <c r="A350" s="1" t="s">
        <v>479</v>
      </c>
      <c r="B350" s="1">
        <v>-33.997160000000001</v>
      </c>
      <c r="C350" s="1">
        <v>135.99231</v>
      </c>
      <c r="D350" t="s">
        <v>1120</v>
      </c>
      <c r="E350" t="s">
        <v>1121</v>
      </c>
      <c r="F350" t="str">
        <f t="shared" si="87"/>
        <v>-33° 59' 49.78"</v>
      </c>
      <c r="G350" t="str">
        <f t="shared" si="88"/>
        <v>135° 59' 32.32"</v>
      </c>
      <c r="H350" s="5">
        <f t="shared" si="89"/>
        <v>33</v>
      </c>
      <c r="I350" s="5">
        <f t="shared" si="90"/>
        <v>-33</v>
      </c>
      <c r="J350" s="5">
        <f t="shared" si="91"/>
        <v>59</v>
      </c>
      <c r="K350" s="5">
        <f t="shared" si="92"/>
        <v>49.78</v>
      </c>
      <c r="L350" s="5">
        <f t="shared" si="93"/>
        <v>135</v>
      </c>
      <c r="M350" s="5">
        <f t="shared" si="94"/>
        <v>59</v>
      </c>
      <c r="N350" s="5">
        <f t="shared" si="95"/>
        <v>32.32</v>
      </c>
      <c r="O350" s="1">
        <v>118</v>
      </c>
      <c r="P350">
        <f t="shared" si="85"/>
        <v>0.11799999999999999</v>
      </c>
      <c r="Q350" s="3" t="s">
        <v>488</v>
      </c>
      <c r="R350" t="str">
        <f t="shared" si="86"/>
        <v>21/11/2015</v>
      </c>
      <c r="S350">
        <f t="shared" si="96"/>
        <v>2015</v>
      </c>
      <c r="T350">
        <f t="shared" si="97"/>
        <v>11</v>
      </c>
      <c r="U350" t="str">
        <f t="shared" si="98"/>
        <v>11</v>
      </c>
      <c r="V350">
        <f t="shared" si="99"/>
        <v>21</v>
      </c>
      <c r="W350" t="str">
        <f t="shared" si="100"/>
        <v>21</v>
      </c>
      <c r="X350" t="str">
        <f t="shared" si="101"/>
        <v>https://api.geomagnetism.ga.gov.au/agrf?latd=-33&amp;latm=59&amp;lats=49.78&amp;lond=135&amp;lonm=59&amp;lons=32.32&amp;year=2015&amp;month=11&amp;day=21&amp;elev=0.118&amp;Ein=D&amp;Ein=d</v>
      </c>
    </row>
    <row r="351" spans="1:24" ht="17" x14ac:dyDescent="0.25">
      <c r="A351" s="1" t="s">
        <v>480</v>
      </c>
      <c r="B351" s="1">
        <v>-32.859659999999998</v>
      </c>
      <c r="C351" s="1">
        <v>137.94292999999999</v>
      </c>
      <c r="D351" t="s">
        <v>1122</v>
      </c>
      <c r="E351" t="s">
        <v>1123</v>
      </c>
      <c r="F351" t="str">
        <f t="shared" si="87"/>
        <v>-32° 51' 34.78"</v>
      </c>
      <c r="G351" t="str">
        <f t="shared" si="88"/>
        <v>137° 56' 34.55"</v>
      </c>
      <c r="H351" s="5">
        <f t="shared" si="89"/>
        <v>32</v>
      </c>
      <c r="I351" s="5">
        <f t="shared" si="90"/>
        <v>-32</v>
      </c>
      <c r="J351" s="5">
        <f t="shared" si="91"/>
        <v>51</v>
      </c>
      <c r="K351" s="5">
        <f t="shared" si="92"/>
        <v>34.78</v>
      </c>
      <c r="L351" s="5">
        <f t="shared" si="93"/>
        <v>137</v>
      </c>
      <c r="M351" s="5">
        <f t="shared" si="94"/>
        <v>56</v>
      </c>
      <c r="N351" s="5">
        <f t="shared" si="95"/>
        <v>34.549999999999997</v>
      </c>
      <c r="O351" s="1">
        <v>45</v>
      </c>
      <c r="P351">
        <f t="shared" si="85"/>
        <v>4.4999999999999998E-2</v>
      </c>
      <c r="Q351" s="3" t="s">
        <v>489</v>
      </c>
      <c r="R351" t="str">
        <f t="shared" si="86"/>
        <v>22/09/2014</v>
      </c>
      <c r="S351">
        <f t="shared" si="96"/>
        <v>2014</v>
      </c>
      <c r="T351">
        <f t="shared" si="97"/>
        <v>9</v>
      </c>
      <c r="U351" t="str">
        <f t="shared" si="98"/>
        <v>09</v>
      </c>
      <c r="V351">
        <f t="shared" si="99"/>
        <v>22</v>
      </c>
      <c r="W351" t="str">
        <f t="shared" si="100"/>
        <v>22</v>
      </c>
      <c r="X351" t="str">
        <f t="shared" si="101"/>
        <v>https://api.geomagnetism.ga.gov.au/agrf?latd=-32&amp;latm=51&amp;lats=34.78&amp;lond=137&amp;lonm=56&amp;lons=34.55&amp;year=2014&amp;month=09&amp;day=22&amp;elev=0.045&amp;Ein=D&amp;Ein=d</v>
      </c>
    </row>
    <row r="352" spans="1:24" ht="17" x14ac:dyDescent="0.25">
      <c r="A352" s="1" t="s">
        <v>481</v>
      </c>
      <c r="B352" s="1">
        <v>-32.826599999999999</v>
      </c>
      <c r="C352" s="1">
        <v>138.18881999999999</v>
      </c>
      <c r="D352" t="s">
        <v>1124</v>
      </c>
      <c r="E352" t="s">
        <v>1125</v>
      </c>
      <c r="F352" t="str">
        <f t="shared" si="87"/>
        <v>-32° 49' 35.76"</v>
      </c>
      <c r="G352" t="str">
        <f t="shared" si="88"/>
        <v>138° 11' 19.75"</v>
      </c>
      <c r="H352" s="5">
        <f t="shared" si="89"/>
        <v>32</v>
      </c>
      <c r="I352" s="5">
        <f t="shared" si="90"/>
        <v>-32</v>
      </c>
      <c r="J352" s="5">
        <f t="shared" si="91"/>
        <v>49</v>
      </c>
      <c r="K352" s="5">
        <f t="shared" si="92"/>
        <v>35.76</v>
      </c>
      <c r="L352" s="5">
        <f t="shared" si="93"/>
        <v>138</v>
      </c>
      <c r="M352" s="5">
        <f t="shared" si="94"/>
        <v>11</v>
      </c>
      <c r="N352" s="5">
        <f t="shared" si="95"/>
        <v>19.75</v>
      </c>
      <c r="O352" s="1">
        <v>13</v>
      </c>
      <c r="P352">
        <f t="shared" si="85"/>
        <v>1.2999999999999999E-2</v>
      </c>
      <c r="Q352" s="3" t="s">
        <v>490</v>
      </c>
      <c r="R352" t="str">
        <f t="shared" si="86"/>
        <v>22/11/2015</v>
      </c>
      <c r="S352">
        <f t="shared" si="96"/>
        <v>2015</v>
      </c>
      <c r="T352">
        <f t="shared" si="97"/>
        <v>11</v>
      </c>
      <c r="U352" t="str">
        <f t="shared" si="98"/>
        <v>11</v>
      </c>
      <c r="V352">
        <f t="shared" si="99"/>
        <v>22</v>
      </c>
      <c r="W352" t="str">
        <f t="shared" si="100"/>
        <v>22</v>
      </c>
      <c r="X352" t="str">
        <f t="shared" si="101"/>
        <v>https://api.geomagnetism.ga.gov.au/agrf?latd=-32&amp;latm=49&amp;lats=35.76&amp;lond=138&amp;lonm=11&amp;lons=19.75&amp;year=2015&amp;month=11&amp;day=22&amp;elev=0.013&amp;Ein=D&amp;Ein=d</v>
      </c>
    </row>
    <row r="353" spans="1:24" ht="17" x14ac:dyDescent="0.25">
      <c r="A353" s="1" t="s">
        <v>482</v>
      </c>
      <c r="B353" s="1">
        <v>-33.108499999999999</v>
      </c>
      <c r="C353" s="1">
        <v>137.37702999999999</v>
      </c>
      <c r="D353" t="s">
        <v>1126</v>
      </c>
      <c r="E353" t="s">
        <v>1127</v>
      </c>
      <c r="F353" t="str">
        <f t="shared" si="87"/>
        <v>-33° 6' 30.60"</v>
      </c>
      <c r="G353" t="str">
        <f t="shared" si="88"/>
        <v>137° 22' 37.31"</v>
      </c>
      <c r="H353" s="5">
        <f t="shared" si="89"/>
        <v>33</v>
      </c>
      <c r="I353" s="5">
        <f t="shared" si="90"/>
        <v>-33</v>
      </c>
      <c r="J353" s="5">
        <f t="shared" si="91"/>
        <v>6</v>
      </c>
      <c r="K353" s="5">
        <f t="shared" si="92"/>
        <v>30.6</v>
      </c>
      <c r="L353" s="5">
        <f t="shared" si="93"/>
        <v>137</v>
      </c>
      <c r="M353" s="5">
        <f t="shared" si="94"/>
        <v>22</v>
      </c>
      <c r="N353" s="5">
        <f t="shared" si="95"/>
        <v>37.31</v>
      </c>
      <c r="O353" s="1">
        <v>77</v>
      </c>
      <c r="P353">
        <f t="shared" si="85"/>
        <v>7.6999999999999999E-2</v>
      </c>
      <c r="Q353" s="3" t="s">
        <v>491</v>
      </c>
      <c r="R353" t="str">
        <f t="shared" si="86"/>
        <v>30/06/2016</v>
      </c>
      <c r="S353">
        <f t="shared" si="96"/>
        <v>2016</v>
      </c>
      <c r="T353">
        <f t="shared" si="97"/>
        <v>6</v>
      </c>
      <c r="U353" t="str">
        <f t="shared" si="98"/>
        <v>06</v>
      </c>
      <c r="V353">
        <f t="shared" si="99"/>
        <v>30</v>
      </c>
      <c r="W353" t="str">
        <f t="shared" si="100"/>
        <v>30</v>
      </c>
      <c r="X353" t="str">
        <f t="shared" si="101"/>
        <v>https://api.geomagnetism.ga.gov.au/agrf?latd=-33&amp;latm=6&amp;lats=30.6&amp;lond=137&amp;lonm=22&amp;lons=37.31&amp;year=2016&amp;month=06&amp;day=30&amp;elev=0.077&amp;Ein=D&amp;Ein=d</v>
      </c>
    </row>
    <row r="354" spans="1:24" ht="17" x14ac:dyDescent="0.25">
      <c r="A354" s="1" t="s">
        <v>483</v>
      </c>
      <c r="B354" s="1">
        <v>-32.430900000000001</v>
      </c>
      <c r="C354" s="1">
        <v>137.29902999999999</v>
      </c>
      <c r="D354" t="s">
        <v>1128</v>
      </c>
      <c r="E354" t="s">
        <v>1129</v>
      </c>
      <c r="F354" t="str">
        <f t="shared" si="87"/>
        <v>-32° 25' 51.24"</v>
      </c>
      <c r="G354" t="str">
        <f t="shared" si="88"/>
        <v>137° 17' 56.51"</v>
      </c>
      <c r="H354" s="5">
        <f t="shared" si="89"/>
        <v>32</v>
      </c>
      <c r="I354" s="5">
        <f t="shared" si="90"/>
        <v>-32</v>
      </c>
      <c r="J354" s="5">
        <f t="shared" si="91"/>
        <v>25</v>
      </c>
      <c r="K354" s="5">
        <f t="shared" si="92"/>
        <v>51.24</v>
      </c>
      <c r="L354" s="5">
        <f t="shared" si="93"/>
        <v>137</v>
      </c>
      <c r="M354" s="5">
        <f t="shared" si="94"/>
        <v>17</v>
      </c>
      <c r="N354" s="5">
        <f t="shared" si="95"/>
        <v>56.51</v>
      </c>
      <c r="O354" s="1">
        <v>140</v>
      </c>
      <c r="P354">
        <f t="shared" si="85"/>
        <v>0.14000000000000001</v>
      </c>
      <c r="Q354" s="3" t="s">
        <v>491</v>
      </c>
      <c r="R354" t="str">
        <f t="shared" si="86"/>
        <v>30/06/2016</v>
      </c>
      <c r="S354">
        <f t="shared" si="96"/>
        <v>2016</v>
      </c>
      <c r="T354">
        <f t="shared" si="97"/>
        <v>6</v>
      </c>
      <c r="U354" t="str">
        <f t="shared" si="98"/>
        <v>06</v>
      </c>
      <c r="V354">
        <f t="shared" si="99"/>
        <v>30</v>
      </c>
      <c r="W354" t="str">
        <f t="shared" si="100"/>
        <v>30</v>
      </c>
      <c r="X354" t="str">
        <f t="shared" si="101"/>
        <v>https://api.geomagnetism.ga.gov.au/agrf?latd=-32&amp;latm=25&amp;lats=51.24&amp;lond=137&amp;lonm=17&amp;lons=56.51&amp;year=2016&amp;month=06&amp;day=30&amp;elev=0.14&amp;Ein=D&amp;Ein=d</v>
      </c>
    </row>
    <row r="355" spans="1:24" ht="17" x14ac:dyDescent="0.25">
      <c r="A355" t="s">
        <v>1143</v>
      </c>
      <c r="B355" s="2">
        <v>-26.495726999999999</v>
      </c>
      <c r="C355" s="2">
        <v>128.43459999999999</v>
      </c>
      <c r="D355" t="s">
        <v>1147</v>
      </c>
      <c r="E355" t="s">
        <v>1148</v>
      </c>
      <c r="F355" t="str">
        <f t="shared" si="87"/>
        <v>-26° 29' 44.62"</v>
      </c>
      <c r="G355" t="str">
        <f t="shared" si="88"/>
        <v>128° 26' 4.56"</v>
      </c>
      <c r="H355" s="5">
        <f t="shared" si="89"/>
        <v>26</v>
      </c>
      <c r="I355" s="5">
        <f t="shared" si="90"/>
        <v>-26</v>
      </c>
      <c r="J355" s="5">
        <f t="shared" si="91"/>
        <v>29</v>
      </c>
      <c r="K355" s="5">
        <f t="shared" si="92"/>
        <v>44.62</v>
      </c>
      <c r="L355" s="5">
        <f t="shared" si="93"/>
        <v>128</v>
      </c>
      <c r="M355" s="5">
        <f t="shared" si="94"/>
        <v>26</v>
      </c>
      <c r="N355" s="5">
        <f t="shared" si="95"/>
        <v>4.5599999999999996</v>
      </c>
      <c r="O355" s="1">
        <v>492</v>
      </c>
      <c r="P355">
        <f t="shared" si="85"/>
        <v>0.49199999999999999</v>
      </c>
      <c r="Q355" s="4" t="s">
        <v>1155</v>
      </c>
      <c r="R355" t="str">
        <f t="shared" si="86"/>
        <v>28/10/2016</v>
      </c>
      <c r="S355">
        <f t="shared" si="96"/>
        <v>2016</v>
      </c>
      <c r="T355">
        <f t="shared" si="97"/>
        <v>10</v>
      </c>
      <c r="U355" t="str">
        <f t="shared" si="98"/>
        <v>10</v>
      </c>
      <c r="V355">
        <f t="shared" si="99"/>
        <v>28</v>
      </c>
      <c r="W355" t="str">
        <f t="shared" si="100"/>
        <v>28</v>
      </c>
      <c r="X355" t="str">
        <f t="shared" si="101"/>
        <v>https://api.geomagnetism.ga.gov.au/agrf?latd=-26&amp;latm=29&amp;lats=44.62&amp;lond=128&amp;lonm=26&amp;lons=4.56&amp;year=2016&amp;month=10&amp;day=28&amp;elev=0.492&amp;Ein=D&amp;Ein=d</v>
      </c>
    </row>
    <row r="356" spans="1:24" ht="17" x14ac:dyDescent="0.25">
      <c r="A356" t="s">
        <v>1144</v>
      </c>
      <c r="B356" s="2">
        <v>-25.961397999999999</v>
      </c>
      <c r="C356" s="2">
        <v>128.54522</v>
      </c>
      <c r="D356" t="s">
        <v>1149</v>
      </c>
      <c r="E356" t="s">
        <v>1150</v>
      </c>
      <c r="F356" t="str">
        <f t="shared" si="87"/>
        <v>-25° 57' 41.03"</v>
      </c>
      <c r="G356" t="str">
        <f t="shared" si="88"/>
        <v>128° 32' 42.79"</v>
      </c>
      <c r="H356" s="5">
        <f t="shared" si="89"/>
        <v>25</v>
      </c>
      <c r="I356" s="5">
        <f t="shared" si="90"/>
        <v>-25</v>
      </c>
      <c r="J356" s="5">
        <f t="shared" si="91"/>
        <v>57</v>
      </c>
      <c r="K356" s="5">
        <f t="shared" si="92"/>
        <v>41.03</v>
      </c>
      <c r="L356" s="5">
        <f t="shared" si="93"/>
        <v>128</v>
      </c>
      <c r="M356" s="5">
        <f t="shared" si="94"/>
        <v>32</v>
      </c>
      <c r="N356" s="5">
        <f t="shared" si="95"/>
        <v>42.79</v>
      </c>
      <c r="O356" s="1">
        <v>604.79999999999995</v>
      </c>
      <c r="P356">
        <f t="shared" si="85"/>
        <v>0.6048</v>
      </c>
      <c r="Q356" s="3" t="s">
        <v>1156</v>
      </c>
      <c r="R356" t="str">
        <f t="shared" si="86"/>
        <v>29/10/2016</v>
      </c>
      <c r="S356">
        <f t="shared" si="96"/>
        <v>2016</v>
      </c>
      <c r="T356">
        <f t="shared" si="97"/>
        <v>10</v>
      </c>
      <c r="U356" t="str">
        <f t="shared" si="98"/>
        <v>10</v>
      </c>
      <c r="V356">
        <f t="shared" si="99"/>
        <v>29</v>
      </c>
      <c r="W356" t="str">
        <f t="shared" si="100"/>
        <v>29</v>
      </c>
      <c r="X356" t="str">
        <f t="shared" si="101"/>
        <v>https://api.geomagnetism.ga.gov.au/agrf?latd=-25&amp;latm=57&amp;lats=41.03&amp;lond=128&amp;lonm=32&amp;lons=42.79&amp;year=2016&amp;month=10&amp;day=29&amp;elev=0.6048&amp;Ein=D&amp;Ein=d</v>
      </c>
    </row>
    <row r="357" spans="1:24" ht="17" x14ac:dyDescent="0.25">
      <c r="A357" t="s">
        <v>1145</v>
      </c>
      <c r="B357" s="2">
        <v>-25.992405000000002</v>
      </c>
      <c r="C357" s="2">
        <v>127.9958</v>
      </c>
      <c r="D357" t="s">
        <v>1151</v>
      </c>
      <c r="E357" t="s">
        <v>1152</v>
      </c>
      <c r="F357" t="str">
        <f t="shared" si="87"/>
        <v>-25° 59' 32.66"</v>
      </c>
      <c r="G357" t="str">
        <f t="shared" si="88"/>
        <v>127° 59' 44.88"</v>
      </c>
      <c r="H357" s="5">
        <f t="shared" si="89"/>
        <v>25</v>
      </c>
      <c r="I357" s="5">
        <f t="shared" si="90"/>
        <v>-25</v>
      </c>
      <c r="J357" s="5">
        <f t="shared" si="91"/>
        <v>59</v>
      </c>
      <c r="K357" s="5">
        <f t="shared" si="92"/>
        <v>32.659999999999997</v>
      </c>
      <c r="L357" s="5">
        <f t="shared" si="93"/>
        <v>127</v>
      </c>
      <c r="M357" s="5">
        <f t="shared" si="94"/>
        <v>59</v>
      </c>
      <c r="N357" s="5">
        <f t="shared" si="95"/>
        <v>44.88</v>
      </c>
      <c r="O357" s="1">
        <v>504.2</v>
      </c>
      <c r="P357">
        <f t="shared" si="85"/>
        <v>0.50419999999999998</v>
      </c>
      <c r="Q357" s="3" t="s">
        <v>1157</v>
      </c>
      <c r="R357" t="str">
        <f t="shared" si="86"/>
        <v>27/10/2016</v>
      </c>
      <c r="S357">
        <f t="shared" si="96"/>
        <v>2016</v>
      </c>
      <c r="T357">
        <f t="shared" si="97"/>
        <v>10</v>
      </c>
      <c r="U357" t="str">
        <f t="shared" si="98"/>
        <v>10</v>
      </c>
      <c r="V357">
        <f t="shared" si="99"/>
        <v>27</v>
      </c>
      <c r="W357" t="str">
        <f t="shared" si="100"/>
        <v>27</v>
      </c>
      <c r="X357" t="str">
        <f t="shared" si="101"/>
        <v>https://api.geomagnetism.ga.gov.au/agrf?latd=-25&amp;latm=59&amp;lats=32.66&amp;lond=127&amp;lonm=59&amp;lons=44.88&amp;year=2016&amp;month=10&amp;day=27&amp;elev=0.5042&amp;Ein=D&amp;Ein=d</v>
      </c>
    </row>
    <row r="358" spans="1:24" ht="17" x14ac:dyDescent="0.25">
      <c r="A358" t="s">
        <v>1146</v>
      </c>
      <c r="B358" s="2">
        <v>-26.000436669999999</v>
      </c>
      <c r="C358" s="2">
        <v>129.00022670000001</v>
      </c>
      <c r="D358" t="s">
        <v>1153</v>
      </c>
      <c r="E358" t="s">
        <v>1154</v>
      </c>
      <c r="F358" t="str">
        <f t="shared" si="87"/>
        <v>-26° 0' 1.57"</v>
      </c>
      <c r="G358" t="str">
        <f t="shared" si="88"/>
        <v>129° 0' 0.82"</v>
      </c>
      <c r="H358" s="5">
        <f t="shared" si="89"/>
        <v>26</v>
      </c>
      <c r="I358" s="5">
        <f t="shared" si="90"/>
        <v>-26</v>
      </c>
      <c r="J358" s="5">
        <f t="shared" si="91"/>
        <v>0</v>
      </c>
      <c r="K358" s="5">
        <f t="shared" si="92"/>
        <v>1.57</v>
      </c>
      <c r="L358" s="5">
        <f t="shared" si="93"/>
        <v>129</v>
      </c>
      <c r="M358" s="5">
        <f t="shared" si="94"/>
        <v>0</v>
      </c>
      <c r="N358" s="5">
        <f t="shared" si="95"/>
        <v>0.82</v>
      </c>
      <c r="O358" s="1">
        <v>641.9</v>
      </c>
      <c r="P358">
        <f t="shared" si="85"/>
        <v>0.64190000000000003</v>
      </c>
      <c r="Q358" s="3" t="s">
        <v>1156</v>
      </c>
      <c r="R358" t="str">
        <f t="shared" si="86"/>
        <v>29/10/2016</v>
      </c>
      <c r="S358">
        <f t="shared" si="96"/>
        <v>2016</v>
      </c>
      <c r="T358">
        <f t="shared" si="97"/>
        <v>10</v>
      </c>
      <c r="U358" t="str">
        <f t="shared" si="98"/>
        <v>10</v>
      </c>
      <c r="V358">
        <f t="shared" si="99"/>
        <v>29</v>
      </c>
      <c r="W358" t="str">
        <f t="shared" si="100"/>
        <v>29</v>
      </c>
      <c r="X358" t="str">
        <f t="shared" si="101"/>
        <v>https://api.geomagnetism.ga.gov.au/agrf?latd=-26&amp;latm=0&amp;lats=1.57&amp;lond=129&amp;lonm=0&amp;lons=0.82&amp;year=2016&amp;month=10&amp;day=29&amp;elev=0.6419&amp;Ein=D&amp;Ein=d</v>
      </c>
    </row>
    <row r="359" spans="1:24" ht="17" x14ac:dyDescent="0.25">
      <c r="A359" s="1" t="s">
        <v>1158</v>
      </c>
      <c r="B359" s="2">
        <v>-31.483463329999999</v>
      </c>
      <c r="C359" s="2">
        <v>129.5000417</v>
      </c>
      <c r="D359" t="s">
        <v>1165</v>
      </c>
      <c r="E359" t="s">
        <v>1166</v>
      </c>
      <c r="F359" t="str">
        <f t="shared" si="87"/>
        <v>-31° 29' 0.47"</v>
      </c>
      <c r="G359" t="str">
        <f t="shared" si="88"/>
        <v>129° 30' 0.15"</v>
      </c>
      <c r="H359" s="5">
        <f t="shared" si="89"/>
        <v>31</v>
      </c>
      <c r="I359" s="5">
        <f t="shared" si="90"/>
        <v>-31</v>
      </c>
      <c r="J359" s="5">
        <f t="shared" si="91"/>
        <v>29</v>
      </c>
      <c r="K359" s="5">
        <f t="shared" si="92"/>
        <v>0.47</v>
      </c>
      <c r="L359" s="5">
        <f t="shared" si="93"/>
        <v>129</v>
      </c>
      <c r="M359" s="5">
        <f t="shared" si="94"/>
        <v>30</v>
      </c>
      <c r="N359" s="5">
        <f t="shared" si="95"/>
        <v>0.15</v>
      </c>
      <c r="O359" s="2">
        <v>95.8</v>
      </c>
      <c r="P359">
        <f t="shared" si="85"/>
        <v>9.5799999999999996E-2</v>
      </c>
      <c r="Q359" s="1" t="s">
        <v>1179</v>
      </c>
      <c r="R359" t="str">
        <f t="shared" si="86"/>
        <v>17/06/2019</v>
      </c>
      <c r="S359">
        <f t="shared" si="96"/>
        <v>2019</v>
      </c>
      <c r="T359">
        <f t="shared" si="97"/>
        <v>6</v>
      </c>
      <c r="U359" t="str">
        <f t="shared" si="98"/>
        <v>06</v>
      </c>
      <c r="V359">
        <f t="shared" si="99"/>
        <v>17</v>
      </c>
      <c r="W359" t="str">
        <f t="shared" si="100"/>
        <v>17</v>
      </c>
      <c r="X359" t="str">
        <f t="shared" si="101"/>
        <v>https://api.geomagnetism.ga.gov.au/agrf?latd=-31&amp;latm=29&amp;lats=0.47&amp;lond=129&amp;lonm=30&amp;lons=0.15&amp;year=2019&amp;month=06&amp;day=17&amp;elev=0.0958&amp;Ein=D&amp;Ein=d</v>
      </c>
    </row>
    <row r="360" spans="1:24" ht="17" x14ac:dyDescent="0.25">
      <c r="A360" s="1" t="s">
        <v>1164</v>
      </c>
      <c r="B360" s="2">
        <v>-31.48235167</v>
      </c>
      <c r="C360" s="2">
        <v>129.50002330000001</v>
      </c>
      <c r="D360" t="s">
        <v>1167</v>
      </c>
      <c r="E360" t="s">
        <v>1168</v>
      </c>
      <c r="F360" t="str">
        <f t="shared" si="87"/>
        <v>-31° 28' 56.47"</v>
      </c>
      <c r="G360" t="str">
        <f t="shared" si="88"/>
        <v>129° 30' 0.08"</v>
      </c>
      <c r="H360" s="5">
        <f t="shared" si="89"/>
        <v>31</v>
      </c>
      <c r="I360" s="5">
        <f t="shared" si="90"/>
        <v>-31</v>
      </c>
      <c r="J360" s="5">
        <f t="shared" si="91"/>
        <v>28</v>
      </c>
      <c r="K360" s="5">
        <f t="shared" si="92"/>
        <v>56.47</v>
      </c>
      <c r="L360" s="5">
        <f t="shared" si="93"/>
        <v>129</v>
      </c>
      <c r="M360" s="5">
        <f t="shared" si="94"/>
        <v>30</v>
      </c>
      <c r="N360" s="5">
        <f t="shared" si="95"/>
        <v>0.08</v>
      </c>
      <c r="O360" s="1">
        <v>91.5</v>
      </c>
      <c r="P360">
        <f t="shared" si="85"/>
        <v>9.1499999999999998E-2</v>
      </c>
      <c r="Q360" s="1" t="s">
        <v>1179</v>
      </c>
      <c r="R360" t="str">
        <f t="shared" si="86"/>
        <v>17/06/2019</v>
      </c>
      <c r="S360">
        <f t="shared" si="96"/>
        <v>2019</v>
      </c>
      <c r="T360">
        <f t="shared" si="97"/>
        <v>6</v>
      </c>
      <c r="U360" t="str">
        <f t="shared" si="98"/>
        <v>06</v>
      </c>
      <c r="V360">
        <f t="shared" si="99"/>
        <v>17</v>
      </c>
      <c r="W360" t="str">
        <f t="shared" si="100"/>
        <v>17</v>
      </c>
      <c r="X360" t="str">
        <f t="shared" si="101"/>
        <v>https://api.geomagnetism.ga.gov.au/agrf?latd=-31&amp;latm=28&amp;lats=56.47&amp;lond=129&amp;lonm=30&amp;lons=0.08&amp;year=2019&amp;month=06&amp;day=17&amp;elev=0.0915&amp;Ein=D&amp;Ein=d</v>
      </c>
    </row>
    <row r="361" spans="1:24" ht="17" x14ac:dyDescent="0.25">
      <c r="A361" s="1" t="s">
        <v>1159</v>
      </c>
      <c r="B361" s="2">
        <v>-31.000218329999999</v>
      </c>
      <c r="C361" s="2">
        <v>129.96707169999999</v>
      </c>
      <c r="D361" t="s">
        <v>1169</v>
      </c>
      <c r="E361" t="s">
        <v>1170</v>
      </c>
      <c r="F361" t="str">
        <f t="shared" si="87"/>
        <v>-31° 0' 0.79"</v>
      </c>
      <c r="G361" t="str">
        <f t="shared" si="88"/>
        <v>129° 58' 1.46"</v>
      </c>
      <c r="H361" s="5">
        <f t="shared" si="89"/>
        <v>31</v>
      </c>
      <c r="I361" s="5">
        <f t="shared" si="90"/>
        <v>-31</v>
      </c>
      <c r="J361" s="5">
        <f t="shared" si="91"/>
        <v>0</v>
      </c>
      <c r="K361" s="5">
        <f t="shared" si="92"/>
        <v>0.79</v>
      </c>
      <c r="L361" s="5">
        <f t="shared" si="93"/>
        <v>129</v>
      </c>
      <c r="M361" s="5">
        <f t="shared" si="94"/>
        <v>58</v>
      </c>
      <c r="N361" s="5">
        <f t="shared" si="95"/>
        <v>1.46</v>
      </c>
      <c r="O361" s="1">
        <v>119</v>
      </c>
      <c r="P361">
        <f t="shared" si="85"/>
        <v>0.11899999999999999</v>
      </c>
      <c r="Q361" s="1" t="s">
        <v>1179</v>
      </c>
      <c r="R361" t="str">
        <f t="shared" si="86"/>
        <v>17/06/2019</v>
      </c>
      <c r="S361">
        <f t="shared" si="96"/>
        <v>2019</v>
      </c>
      <c r="T361">
        <f t="shared" si="97"/>
        <v>6</v>
      </c>
      <c r="U361" t="str">
        <f t="shared" si="98"/>
        <v>06</v>
      </c>
      <c r="V361">
        <f t="shared" si="99"/>
        <v>17</v>
      </c>
      <c r="W361" t="str">
        <f t="shared" si="100"/>
        <v>17</v>
      </c>
      <c r="X361" t="str">
        <f t="shared" si="101"/>
        <v>https://api.geomagnetism.ga.gov.au/agrf?latd=-31&amp;latm=0&amp;lats=0.79&amp;lond=129&amp;lonm=58&amp;lons=1.46&amp;year=2019&amp;month=06&amp;day=17&amp;elev=0.119&amp;Ein=D&amp;Ein=d</v>
      </c>
    </row>
    <row r="362" spans="1:24" ht="17" x14ac:dyDescent="0.25">
      <c r="A362" s="1" t="s">
        <v>1160</v>
      </c>
      <c r="B362" s="2">
        <v>-30.000913329999999</v>
      </c>
      <c r="C362" s="2">
        <v>130.06942330000001</v>
      </c>
      <c r="D362" t="s">
        <v>1171</v>
      </c>
      <c r="E362" t="s">
        <v>1172</v>
      </c>
      <c r="F362" t="str">
        <f t="shared" si="87"/>
        <v>-30° 0' 3.29"</v>
      </c>
      <c r="G362" t="str">
        <f t="shared" si="88"/>
        <v>130° 4' 9.92"</v>
      </c>
      <c r="H362" s="5">
        <f t="shared" si="89"/>
        <v>30</v>
      </c>
      <c r="I362" s="5">
        <f t="shared" si="90"/>
        <v>-30</v>
      </c>
      <c r="J362" s="5">
        <f t="shared" si="91"/>
        <v>0</v>
      </c>
      <c r="K362" s="5">
        <f t="shared" si="92"/>
        <v>3.29</v>
      </c>
      <c r="L362" s="5">
        <f t="shared" si="93"/>
        <v>130</v>
      </c>
      <c r="M362" s="5">
        <f t="shared" si="94"/>
        <v>4</v>
      </c>
      <c r="N362" s="5">
        <f t="shared" si="95"/>
        <v>9.92</v>
      </c>
      <c r="O362" s="1">
        <v>154</v>
      </c>
      <c r="P362">
        <f t="shared" si="85"/>
        <v>0.154</v>
      </c>
      <c r="Q362" s="1" t="s">
        <v>1180</v>
      </c>
      <c r="R362" t="str">
        <f t="shared" si="86"/>
        <v>15/06/2019</v>
      </c>
      <c r="S362">
        <f t="shared" si="96"/>
        <v>2019</v>
      </c>
      <c r="T362">
        <f t="shared" si="97"/>
        <v>6</v>
      </c>
      <c r="U362" t="str">
        <f t="shared" si="98"/>
        <v>06</v>
      </c>
      <c r="V362">
        <f t="shared" si="99"/>
        <v>15</v>
      </c>
      <c r="W362" t="str">
        <f t="shared" si="100"/>
        <v>15</v>
      </c>
      <c r="X362" t="str">
        <f t="shared" si="101"/>
        <v>https://api.geomagnetism.ga.gov.au/agrf?latd=-30&amp;latm=0&amp;lats=3.29&amp;lond=130&amp;lonm=4&amp;lons=9.92&amp;year=2019&amp;month=06&amp;day=15&amp;elev=0.154&amp;Ein=D&amp;Ein=d</v>
      </c>
    </row>
    <row r="363" spans="1:24" ht="17" x14ac:dyDescent="0.25">
      <c r="A363" s="1" t="s">
        <v>1161</v>
      </c>
      <c r="B363" s="2">
        <v>-31.500454999999999</v>
      </c>
      <c r="C363" s="2">
        <v>130.4858083</v>
      </c>
      <c r="D363" t="s">
        <v>1173</v>
      </c>
      <c r="E363" t="s">
        <v>1174</v>
      </c>
      <c r="F363" t="str">
        <f t="shared" si="87"/>
        <v>-31° 30' 1.64"</v>
      </c>
      <c r="G363" t="str">
        <f t="shared" si="88"/>
        <v>130° 29' 8.91"</v>
      </c>
      <c r="H363" s="5">
        <f t="shared" si="89"/>
        <v>31</v>
      </c>
      <c r="I363" s="5">
        <f t="shared" si="90"/>
        <v>-31</v>
      </c>
      <c r="J363" s="5">
        <f t="shared" si="91"/>
        <v>30</v>
      </c>
      <c r="K363" s="5">
        <f t="shared" si="92"/>
        <v>1.64</v>
      </c>
      <c r="L363" s="5">
        <f t="shared" si="93"/>
        <v>130</v>
      </c>
      <c r="M363" s="5">
        <f t="shared" si="94"/>
        <v>29</v>
      </c>
      <c r="N363" s="5">
        <f t="shared" si="95"/>
        <v>8.91</v>
      </c>
      <c r="O363" s="1">
        <v>51.9</v>
      </c>
      <c r="P363">
        <f t="shared" si="85"/>
        <v>5.1900000000000002E-2</v>
      </c>
      <c r="Q363" s="1" t="s">
        <v>1179</v>
      </c>
      <c r="R363" t="str">
        <f t="shared" si="86"/>
        <v>17/06/2019</v>
      </c>
      <c r="S363">
        <f t="shared" si="96"/>
        <v>2019</v>
      </c>
      <c r="T363">
        <f t="shared" si="97"/>
        <v>6</v>
      </c>
      <c r="U363" t="str">
        <f t="shared" si="98"/>
        <v>06</v>
      </c>
      <c r="V363">
        <f t="shared" si="99"/>
        <v>17</v>
      </c>
      <c r="W363" t="str">
        <f t="shared" si="100"/>
        <v>17</v>
      </c>
      <c r="X363" t="str">
        <f t="shared" si="101"/>
        <v>https://api.geomagnetism.ga.gov.au/agrf?latd=-31&amp;latm=30&amp;lats=1.64&amp;lond=130&amp;lonm=29&amp;lons=8.91&amp;year=2019&amp;month=06&amp;day=17&amp;elev=0.0519&amp;Ein=D&amp;Ein=d</v>
      </c>
    </row>
    <row r="364" spans="1:24" ht="17" x14ac:dyDescent="0.25">
      <c r="A364" s="1" t="s">
        <v>1162</v>
      </c>
      <c r="B364" s="2">
        <v>-31.004695000000002</v>
      </c>
      <c r="C364" s="2">
        <v>130.90714500000001</v>
      </c>
      <c r="D364" t="s">
        <v>1175</v>
      </c>
      <c r="E364" t="s">
        <v>1176</v>
      </c>
      <c r="F364" t="str">
        <f t="shared" si="87"/>
        <v>-31° 0' 16.90"</v>
      </c>
      <c r="G364" t="str">
        <f t="shared" si="88"/>
        <v>130° 54' 25.72"</v>
      </c>
      <c r="H364" s="5">
        <f t="shared" si="89"/>
        <v>31</v>
      </c>
      <c r="I364" s="5">
        <f t="shared" si="90"/>
        <v>-31</v>
      </c>
      <c r="J364" s="5">
        <f t="shared" si="91"/>
        <v>0</v>
      </c>
      <c r="K364" s="5">
        <f t="shared" si="92"/>
        <v>16.899999999999999</v>
      </c>
      <c r="L364" s="5">
        <f t="shared" si="93"/>
        <v>130</v>
      </c>
      <c r="M364" s="5">
        <f t="shared" si="94"/>
        <v>54</v>
      </c>
      <c r="N364" s="5">
        <f t="shared" si="95"/>
        <v>25.72</v>
      </c>
      <c r="O364" s="1">
        <v>80.900000000000006</v>
      </c>
      <c r="P364">
        <f t="shared" si="85"/>
        <v>8.09E-2</v>
      </c>
      <c r="Q364" s="1" t="s">
        <v>1181</v>
      </c>
      <c r="R364" t="str">
        <f t="shared" si="86"/>
        <v>13/06/2019</v>
      </c>
      <c r="S364">
        <f t="shared" si="96"/>
        <v>2019</v>
      </c>
      <c r="T364">
        <f t="shared" si="97"/>
        <v>6</v>
      </c>
      <c r="U364" t="str">
        <f t="shared" si="98"/>
        <v>06</v>
      </c>
      <c r="V364">
        <f t="shared" si="99"/>
        <v>13</v>
      </c>
      <c r="W364" t="str">
        <f t="shared" si="100"/>
        <v>13</v>
      </c>
      <c r="X364" t="str">
        <f t="shared" si="101"/>
        <v>https://api.geomagnetism.ga.gov.au/agrf?latd=-31&amp;latm=0&amp;lats=16.9&amp;lond=130&amp;lonm=54&amp;lons=25.72&amp;year=2019&amp;month=06&amp;day=13&amp;elev=0.0809&amp;Ein=D&amp;Ein=d</v>
      </c>
    </row>
    <row r="365" spans="1:24" ht="17" x14ac:dyDescent="0.25">
      <c r="A365" s="1" t="s">
        <v>1163</v>
      </c>
      <c r="B365" s="2">
        <v>-30.569248330000001</v>
      </c>
      <c r="C365" s="2">
        <v>131.00963999999999</v>
      </c>
      <c r="D365" t="s">
        <v>1177</v>
      </c>
      <c r="E365" t="s">
        <v>1178</v>
      </c>
      <c r="F365" t="str">
        <f t="shared" si="87"/>
        <v>-30° 34' 9.29"</v>
      </c>
      <c r="G365" t="str">
        <f t="shared" si="88"/>
        <v>131° 0' 34.70"</v>
      </c>
      <c r="H365" s="5">
        <f t="shared" si="89"/>
        <v>30</v>
      </c>
      <c r="I365" s="5">
        <f t="shared" si="90"/>
        <v>-30</v>
      </c>
      <c r="J365" s="5">
        <f t="shared" si="91"/>
        <v>34</v>
      </c>
      <c r="K365" s="5">
        <f t="shared" si="92"/>
        <v>9.2899999999999991</v>
      </c>
      <c r="L365" s="5">
        <f t="shared" si="93"/>
        <v>131</v>
      </c>
      <c r="M365" s="5">
        <f t="shared" si="94"/>
        <v>0</v>
      </c>
      <c r="N365" s="5">
        <f t="shared" si="95"/>
        <v>34.700000000000003</v>
      </c>
      <c r="O365" s="1">
        <v>113</v>
      </c>
      <c r="P365">
        <f t="shared" si="85"/>
        <v>0.113</v>
      </c>
      <c r="Q365" s="1" t="s">
        <v>1182</v>
      </c>
      <c r="R365" t="str">
        <f t="shared" si="86"/>
        <v>14/06/2019</v>
      </c>
      <c r="S365">
        <f t="shared" si="96"/>
        <v>2019</v>
      </c>
      <c r="T365">
        <f t="shared" si="97"/>
        <v>6</v>
      </c>
      <c r="U365" t="str">
        <f t="shared" si="98"/>
        <v>06</v>
      </c>
      <c r="V365">
        <f t="shared" si="99"/>
        <v>14</v>
      </c>
      <c r="W365" t="str">
        <f t="shared" si="100"/>
        <v>14</v>
      </c>
      <c r="X365" t="str">
        <f t="shared" si="101"/>
        <v>https://api.geomagnetism.ga.gov.au/agrf?latd=-30&amp;latm=34&amp;lats=9.29&amp;lond=131&amp;lonm=0&amp;lons=34.7&amp;year=2019&amp;month=06&amp;day=14&amp;elev=0.113&amp;Ein=D&amp;Ein=d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all_station_lat_lons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Rees</dc:creator>
  <cp:lastModifiedBy>Nigel Rees</cp:lastModifiedBy>
  <dcterms:created xsi:type="dcterms:W3CDTF">2026-02-23T22:18:06Z</dcterms:created>
  <dcterms:modified xsi:type="dcterms:W3CDTF">2026-03-19T02:26:33Z</dcterms:modified>
</cp:coreProperties>
</file>